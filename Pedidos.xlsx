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codeName="ThisWorkbook" defaultThemeVersion="124226"/>
  <xr:revisionPtr revIDLastSave="0" documentId="13_ncr:1_{71D6E29C-2222-456B-8D3D-AA8889B2DF0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2" r:id="rId1"/>
    <sheet name="Sheet1" sheetId="1" r:id="rId2"/>
  </sheets>
  <definedNames>
    <definedName name="_xlnm._FilterDatabase" localSheetId="1" hidden="1">Sheet1!$A$2:$AA$215</definedName>
    <definedName name="wrapper">Sheet1!#REF!</definedName>
  </definedName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5" i="1" l="1"/>
  <c r="S214" i="1"/>
  <c r="S213" i="1"/>
  <c r="S45" i="1"/>
  <c r="S44" i="1"/>
  <c r="S43" i="1"/>
  <c r="S42" i="1"/>
  <c r="S41" i="1"/>
  <c r="S212" i="1"/>
  <c r="S211" i="1"/>
  <c r="S210" i="1"/>
  <c r="S209" i="1"/>
  <c r="S208" i="1"/>
  <c r="S207" i="1"/>
  <c r="S206" i="1"/>
  <c r="S92" i="1"/>
  <c r="S91" i="1"/>
  <c r="S205" i="1"/>
  <c r="S204" i="1"/>
  <c r="S203" i="1"/>
  <c r="S202" i="1"/>
  <c r="S201" i="1"/>
  <c r="S40" i="1"/>
  <c r="S90" i="1"/>
  <c r="S89" i="1"/>
  <c r="S88" i="1"/>
  <c r="S200" i="1"/>
  <c r="S199" i="1"/>
  <c r="S198" i="1"/>
  <c r="S23" i="1"/>
  <c r="S22" i="1"/>
  <c r="S21" i="1"/>
  <c r="S20" i="1"/>
  <c r="S19" i="1"/>
  <c r="S18" i="1"/>
  <c r="S17" i="1"/>
  <c r="S197" i="1"/>
  <c r="S196" i="1"/>
  <c r="S9" i="1"/>
  <c r="S123" i="1"/>
  <c r="S39" i="1"/>
  <c r="S38" i="1"/>
  <c r="S37" i="1"/>
  <c r="S195" i="1"/>
  <c r="S194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193" i="1"/>
  <c r="S13" i="1"/>
  <c r="S12" i="1"/>
  <c r="S11" i="1"/>
  <c r="S10" i="1"/>
  <c r="S74" i="1"/>
  <c r="S73" i="1"/>
  <c r="S192" i="1"/>
  <c r="S8" i="1"/>
  <c r="S7" i="1"/>
  <c r="S6" i="1"/>
  <c r="S5" i="1"/>
  <c r="S4" i="1"/>
  <c r="S191" i="1"/>
  <c r="S190" i="1"/>
  <c r="S189" i="1"/>
  <c r="S188" i="1"/>
  <c r="S187" i="1"/>
  <c r="S122" i="1"/>
  <c r="S121" i="1"/>
  <c r="S120" i="1"/>
  <c r="S186" i="1"/>
  <c r="S185" i="1"/>
  <c r="S184" i="1"/>
  <c r="S183" i="1"/>
  <c r="S182" i="1"/>
  <c r="S181" i="1"/>
  <c r="S72" i="1"/>
  <c r="S71" i="1"/>
  <c r="S70" i="1"/>
  <c r="S119" i="1"/>
  <c r="S118" i="1"/>
  <c r="S180" i="1"/>
  <c r="S179" i="1"/>
  <c r="S178" i="1"/>
  <c r="S177" i="1"/>
  <c r="S176" i="1"/>
  <c r="S14" i="1"/>
  <c r="S16" i="1"/>
  <c r="S15" i="1"/>
  <c r="S36" i="1"/>
  <c r="S35" i="1"/>
  <c r="S34" i="1"/>
  <c r="S33" i="1"/>
  <c r="S32" i="1"/>
  <c r="S31" i="1"/>
  <c r="S30" i="1"/>
  <c r="S29" i="1"/>
  <c r="S28" i="1"/>
  <c r="S27" i="1"/>
  <c r="S26" i="1"/>
  <c r="S69" i="1"/>
  <c r="S68" i="1"/>
  <c r="S25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67" i="1"/>
  <c r="S66" i="1"/>
  <c r="S65" i="1"/>
  <c r="S64" i="1"/>
  <c r="S161" i="1"/>
  <c r="S160" i="1"/>
  <c r="S159" i="1"/>
  <c r="S158" i="1"/>
  <c r="S157" i="1"/>
  <c r="S156" i="1"/>
  <c r="S155" i="1"/>
  <c r="S117" i="1"/>
  <c r="S116" i="1"/>
  <c r="S115" i="1"/>
  <c r="S114" i="1"/>
  <c r="S154" i="1"/>
  <c r="S24" i="1"/>
  <c r="S153" i="1"/>
  <c r="S152" i="1"/>
  <c r="S151" i="1"/>
  <c r="S150" i="1"/>
  <c r="S113" i="1"/>
  <c r="S112" i="1"/>
  <c r="S63" i="1"/>
  <c r="S62" i="1"/>
  <c r="S61" i="1"/>
  <c r="S111" i="1"/>
  <c r="S110" i="1"/>
  <c r="S60" i="1"/>
  <c r="S149" i="1"/>
  <c r="S59" i="1"/>
  <c r="S148" i="1"/>
  <c r="S147" i="1"/>
  <c r="S146" i="1"/>
  <c r="S145" i="1"/>
  <c r="S144" i="1"/>
  <c r="S143" i="1"/>
  <c r="S142" i="1"/>
  <c r="S141" i="1"/>
  <c r="S109" i="1"/>
  <c r="S108" i="1"/>
  <c r="S140" i="1"/>
  <c r="S139" i="1"/>
  <c r="S107" i="1"/>
  <c r="S106" i="1"/>
  <c r="S138" i="1"/>
  <c r="S137" i="1"/>
  <c r="S136" i="1"/>
  <c r="S135" i="1"/>
  <c r="S134" i="1"/>
  <c r="S105" i="1"/>
  <c r="S104" i="1"/>
  <c r="S133" i="1"/>
  <c r="S58" i="1"/>
  <c r="S57" i="1"/>
  <c r="S56" i="1"/>
  <c r="S55" i="1"/>
  <c r="S54" i="1"/>
  <c r="S53" i="1"/>
  <c r="S52" i="1"/>
  <c r="S3" i="1"/>
  <c r="S103" i="1"/>
  <c r="S102" i="1"/>
  <c r="S101" i="1"/>
  <c r="S100" i="1"/>
  <c r="S132" i="1"/>
  <c r="S99" i="1"/>
  <c r="S98" i="1"/>
  <c r="S97" i="1"/>
  <c r="S96" i="1"/>
  <c r="S95" i="1"/>
  <c r="S94" i="1"/>
  <c r="S93" i="1"/>
  <c r="S131" i="1"/>
  <c r="S130" i="1"/>
  <c r="S129" i="1"/>
  <c r="S128" i="1"/>
  <c r="S127" i="1"/>
  <c r="S51" i="1"/>
  <c r="S50" i="1"/>
  <c r="S49" i="1"/>
  <c r="S126" i="1"/>
  <c r="S125" i="1"/>
  <c r="S48" i="1"/>
  <c r="S47" i="1"/>
  <c r="S46" i="1"/>
  <c r="S124" i="1"/>
</calcChain>
</file>

<file path=xl/sharedStrings.xml><?xml version="1.0" encoding="utf-8"?>
<sst xmlns="http://schemas.openxmlformats.org/spreadsheetml/2006/main" count="2577" uniqueCount="741">
  <si>
    <t>Engineer</t>
  </si>
  <si>
    <t>Model</t>
  </si>
  <si>
    <t>Serial Number</t>
  </si>
  <si>
    <t>Customer</t>
  </si>
  <si>
    <t>Call Date</t>
  </si>
  <si>
    <t>Type</t>
  </si>
  <si>
    <t>Problem</t>
  </si>
  <si>
    <t>Status</t>
  </si>
  <si>
    <t>Order Number</t>
  </si>
  <si>
    <t>Part Qty Ordered</t>
  </si>
  <si>
    <t>Part #</t>
  </si>
  <si>
    <t>Part Description</t>
  </si>
  <si>
    <t>Part Qty Shipped</t>
  </si>
  <si>
    <t>Part Ship Date</t>
  </si>
  <si>
    <t>ESTUDIO409AS</t>
  </si>
  <si>
    <t>701942040MVFY</t>
  </si>
  <si>
    <t>TIENDAS EXTRA</t>
  </si>
  <si>
    <t>A</t>
  </si>
  <si>
    <t>EC</t>
  </si>
  <si>
    <t>Wait for Parts</t>
  </si>
  <si>
    <t>1000058006299</t>
  </si>
  <si>
    <t>OD409W</t>
  </si>
  <si>
    <t>E-STUDIO409S BLACK IMAGING UNIT - 40K</t>
  </si>
  <si>
    <t>ESTUDIO4515AC</t>
  </si>
  <si>
    <t>CNJK59471</t>
  </si>
  <si>
    <t>BRADY MEXICO S DE RL DE CV</t>
  </si>
  <si>
    <t>1000057006299</t>
  </si>
  <si>
    <t>6LJ57393100S</t>
  </si>
  <si>
    <t>LEVER-ADU-H370</t>
  </si>
  <si>
    <t>6LK52838100S</t>
  </si>
  <si>
    <t>LSU-UNIT-K114</t>
  </si>
  <si>
    <t>RECIBOS</t>
  </si>
  <si>
    <t>BLOCK DE SERVICIO</t>
  </si>
  <si>
    <t>ESTUDIO7516ACT</t>
  </si>
  <si>
    <t>S1IM91547</t>
  </si>
  <si>
    <t>OFFICE DEPOT DE MEXICO SA DE CV</t>
  </si>
  <si>
    <t>O</t>
  </si>
  <si>
    <t>CQ</t>
  </si>
  <si>
    <t>1000056006299</t>
  </si>
  <si>
    <t>6LK43607200</t>
  </si>
  <si>
    <t>D-FC556-C (DEVELOPER CARTRIDGE )</t>
  </si>
  <si>
    <t>S1IM91561</t>
  </si>
  <si>
    <t>PJ</t>
  </si>
  <si>
    <t>1000055006299</t>
  </si>
  <si>
    <t>6LK41561000</t>
  </si>
  <si>
    <t>ROL-KIT-FC75 (PM KIT)</t>
  </si>
  <si>
    <t>ESTUDIO9029A</t>
  </si>
  <si>
    <t>C8KN12095</t>
  </si>
  <si>
    <t>TAYLOR LABELING SOLUTIONS</t>
  </si>
  <si>
    <t>PM</t>
  </si>
  <si>
    <t>Down for Parts</t>
  </si>
  <si>
    <t>1000151004591</t>
  </si>
  <si>
    <t>6LK40607000</t>
  </si>
  <si>
    <t>OD-FC556</t>
  </si>
  <si>
    <t>6LK40619000</t>
  </si>
  <si>
    <t>EPU-KIT-FC556-S (PM KIT - E8508A)</t>
  </si>
  <si>
    <t>6LK41165000</t>
  </si>
  <si>
    <t>TBU-KIT-FC556 (PM KIT)</t>
  </si>
  <si>
    <t>ESTUDIO409S</t>
  </si>
  <si>
    <t>701930210FL4M</t>
  </si>
  <si>
    <t>ESTRELLA DE ORO SA DE CV MEXICO-ACAPULCO-ZIHUATANEJO</t>
  </si>
  <si>
    <t>1000215004590</t>
  </si>
  <si>
    <t>41X2573S</t>
  </si>
  <si>
    <t>Printhead</t>
  </si>
  <si>
    <t>41X2592S</t>
  </si>
  <si>
    <t>HVPS</t>
  </si>
  <si>
    <t>41X2595S</t>
  </si>
  <si>
    <t>CONTROL PANEL ASSY</t>
  </si>
  <si>
    <t>41X2976S</t>
  </si>
  <si>
    <t>CONTROLLER BOARD</t>
  </si>
  <si>
    <t>41X2980</t>
  </si>
  <si>
    <t>ADF AND SCANNER</t>
  </si>
  <si>
    <t>1000216004590</t>
  </si>
  <si>
    <t>6LJ83358000S</t>
  </si>
  <si>
    <t>OD-2505</t>
  </si>
  <si>
    <t>ESTUDIO2822AM</t>
  </si>
  <si>
    <t>CKAP32789</t>
  </si>
  <si>
    <t>F RAPIDO SA DE CV</t>
  </si>
  <si>
    <t>P</t>
  </si>
  <si>
    <t>1000276005643</t>
  </si>
  <si>
    <t>6LJ74916100S</t>
  </si>
  <si>
    <t>TRAY-SFB-L-H24X-HIPS</t>
  </si>
  <si>
    <t>6LJ74929000S</t>
  </si>
  <si>
    <t>ASYS-TRAY-FED-SFB-H24X</t>
  </si>
  <si>
    <t>6LJ83358000</t>
  </si>
  <si>
    <t>OD-2505 DRUM</t>
  </si>
  <si>
    <t>6LL39101000</t>
  </si>
  <si>
    <t>BL-2320D_BD</t>
  </si>
  <si>
    <t>6LJ75220000S</t>
  </si>
  <si>
    <t>SIDE-GUIDE-H24X</t>
  </si>
  <si>
    <t>CKEM25908</t>
  </si>
  <si>
    <t>PROYECTOS METALICOS FERRO SA DE CV</t>
  </si>
  <si>
    <t>1000272005643</t>
  </si>
  <si>
    <t>6LJ78116000S</t>
  </si>
  <si>
    <t>HR-2505-U</t>
  </si>
  <si>
    <t>ESTUDIO3528A</t>
  </si>
  <si>
    <t>CTIP43843</t>
  </si>
  <si>
    <t>RADEC SA DE CV</t>
  </si>
  <si>
    <t>1000275005643</t>
  </si>
  <si>
    <t>6LK72107000</t>
  </si>
  <si>
    <t>HR-5008A-U (HEAT ROLLER ASSEMBLY)</t>
  </si>
  <si>
    <t>ESTUDIO5525AC</t>
  </si>
  <si>
    <t>CSCN65380</t>
  </si>
  <si>
    <t>ULTRA LABORATORIOS SA DE CV</t>
  </si>
  <si>
    <t>1000274005643</t>
  </si>
  <si>
    <t>6LE49877000</t>
  </si>
  <si>
    <t>ASYS-ROL-RET-RU (ROLLER ASSEMBLY)</t>
  </si>
  <si>
    <t>6LJ56242000</t>
  </si>
  <si>
    <t>ASYS-ROLL-FEED-H21X_H (ROLLER ASSEMBLY)</t>
  </si>
  <si>
    <t>6LK55468000</t>
  </si>
  <si>
    <t>PR-FC505 (PRESS ROLLER ASSEMBLY)</t>
  </si>
  <si>
    <t>ESTUDIO479S</t>
  </si>
  <si>
    <t>70204032044P5</t>
  </si>
  <si>
    <t>FINPROSPERA</t>
  </si>
  <si>
    <t>S</t>
  </si>
  <si>
    <t>1000274004595</t>
  </si>
  <si>
    <t>41X2880</t>
  </si>
  <si>
    <t>CONTROL PANEL FOR MX632 AND XM3350</t>
  </si>
  <si>
    <t>ESTUDIO7527AC</t>
  </si>
  <si>
    <t>S6JP83710</t>
  </si>
  <si>
    <t>1000275004595</t>
  </si>
  <si>
    <t>6LK42409000S</t>
  </si>
  <si>
    <t>GEAR-10H21-IDL-PR-H38X * (GEAR)</t>
  </si>
  <si>
    <t>6LK42501000</t>
  </si>
  <si>
    <t>GEAR-10H23-8H40-8-H38X (GEAR)</t>
  </si>
  <si>
    <t>6LK42503000</t>
  </si>
  <si>
    <t>GEAR-05H65-08H36-8-H38X (GEAR)</t>
  </si>
  <si>
    <t>6LK42507000</t>
  </si>
  <si>
    <t>GEAR-10H22-8-H38X * (GEAR)</t>
  </si>
  <si>
    <t>6LL48460000</t>
  </si>
  <si>
    <t>KIT-ROL-MR-4010 (PERIODICAL MAINTENANCE KIT (KIT-ROL-DSDF))</t>
  </si>
  <si>
    <t>6LL62228000S</t>
  </si>
  <si>
    <t>MOTR_D-DRIVE-05L20-39-N</t>
  </si>
  <si>
    <t>6LK42668000</t>
  </si>
  <si>
    <t>ASY-FUSER-BELT-FC556 (FUSER BELT)</t>
  </si>
  <si>
    <t>ESTUDIO4525AC</t>
  </si>
  <si>
    <t>CSCP40288</t>
  </si>
  <si>
    <t>KB TEL TELECOMUNICACIONES SA DE CV</t>
  </si>
  <si>
    <t>NP</t>
  </si>
  <si>
    <t>1000358004524</t>
  </si>
  <si>
    <t>6LL41225000S</t>
  </si>
  <si>
    <t>HRNS-SCN-LED-K160</t>
  </si>
  <si>
    <t>ESTUDIO8508AU</t>
  </si>
  <si>
    <t>CIIG22935</t>
  </si>
  <si>
    <t>TRUPER SA DE CV</t>
  </si>
  <si>
    <t>1000364004524</t>
  </si>
  <si>
    <t>G0-00732000S</t>
  </si>
  <si>
    <t>MQ01ABU032W * (HARD DISK DRIVE 320GB TSB)</t>
  </si>
  <si>
    <t>ESTUDIO8518AU</t>
  </si>
  <si>
    <t>C2KJ21951</t>
  </si>
  <si>
    <t>COMPANIA FERRETERA NUEVO MUNDO S DE RL DE CV</t>
  </si>
  <si>
    <t>1000363004524</t>
  </si>
  <si>
    <t>6LK73160000</t>
  </si>
  <si>
    <t>SNSR-FED-RVS-H380 (SENSOR)</t>
  </si>
  <si>
    <t>ESTUDIO2010AC</t>
  </si>
  <si>
    <t>BP</t>
  </si>
  <si>
    <t>7019145104MCW</t>
  </si>
  <si>
    <t>INFRA SA DE CV</t>
  </si>
  <si>
    <t>PC</t>
  </si>
  <si>
    <t>2214702</t>
  </si>
  <si>
    <t>ESTUDIO478S</t>
  </si>
  <si>
    <t>7018001308YC0</t>
  </si>
  <si>
    <t>EZPAWN MANAGEMENT MEXICO S DE RL DE CV</t>
  </si>
  <si>
    <t>V</t>
  </si>
  <si>
    <t>2214705</t>
  </si>
  <si>
    <t>OD478SR</t>
  </si>
  <si>
    <t>E-STUDIO478S RETURN PROGRAM BLACK IMAGING UNIT - 60K</t>
  </si>
  <si>
    <t>70180073097BW</t>
  </si>
  <si>
    <t>2214704</t>
  </si>
  <si>
    <t>701824640K45L</t>
  </si>
  <si>
    <t>2213554</t>
  </si>
  <si>
    <t>6LK45855000</t>
  </si>
  <si>
    <t>SNSR-ATC-H373 (SENSOR)</t>
  </si>
  <si>
    <t>4401949290</t>
  </si>
  <si>
    <t>SEAL-VC6-10-2.5</t>
  </si>
  <si>
    <t>F0-01959000</t>
  </si>
  <si>
    <t>BEARING BALL * L1260 2RS-SH44M-GV22 MOGBR 12mm</t>
  </si>
  <si>
    <t>6LH02725000</t>
  </si>
  <si>
    <t>GRID-CHARGR-MAIN-430</t>
  </si>
  <si>
    <t>6LJ06722000</t>
  </si>
  <si>
    <t>GRID-CHARGR-MAIN-G (GRID)</t>
  </si>
  <si>
    <t>6LK73139000</t>
  </si>
  <si>
    <t>THMS-HTR-H380 (THERMISTOR)</t>
  </si>
  <si>
    <t>ESTUDIO2520AC</t>
  </si>
  <si>
    <t>CSKN22456</t>
  </si>
  <si>
    <t>DX XPRESS SA DE CV</t>
  </si>
  <si>
    <t>Q</t>
  </si>
  <si>
    <t>CE</t>
  </si>
  <si>
    <t>1000020006486</t>
  </si>
  <si>
    <t>6LK49455000S</t>
  </si>
  <si>
    <t>ASYB-PS-HVT-H370</t>
  </si>
  <si>
    <t>ESTUDIO4505ACU</t>
  </si>
  <si>
    <t>CFEH56169</t>
  </si>
  <si>
    <t>1000019006486</t>
  </si>
  <si>
    <t>6LK48963000S</t>
  </si>
  <si>
    <t>ASYS-CASE-DEV-H373</t>
  </si>
  <si>
    <t>70180033096WF</t>
  </si>
  <si>
    <t>1000018006486</t>
  </si>
  <si>
    <t>701800330970K</t>
  </si>
  <si>
    <t>1000017006486</t>
  </si>
  <si>
    <t>41X1224</t>
  </si>
  <si>
    <t>MAIN DRIVE GEARBOX</t>
  </si>
  <si>
    <t>RECAL ESTRUCTURAS SA DE CV</t>
  </si>
  <si>
    <t>6LK54293000</t>
  </si>
  <si>
    <t>KIT-ROL-DSDF (PM KIT)</t>
  </si>
  <si>
    <t>701935340KWWT</t>
  </si>
  <si>
    <t>GRUPO COMERCIAL DSW SA DE CV</t>
  </si>
  <si>
    <t>1000256004558</t>
  </si>
  <si>
    <t>ENVASES UNIVERSALES DE MEXICO SAPI DE CV</t>
  </si>
  <si>
    <t>ESTUDIO3018A</t>
  </si>
  <si>
    <t>CZGL27773</t>
  </si>
  <si>
    <t>WF</t>
  </si>
  <si>
    <t>1000577004594</t>
  </si>
  <si>
    <t>6LK72100000</t>
  </si>
  <si>
    <t>**CH-6LK72107000; HR-5008A-U</t>
  </si>
  <si>
    <t>ESTUDIO8518A</t>
  </si>
  <si>
    <t>ESTUDIO330AC</t>
  </si>
  <si>
    <t>CRCP67440</t>
  </si>
  <si>
    <t>RED AMBIENTAL SERVICIOS</t>
  </si>
  <si>
    <t>NS</t>
  </si>
  <si>
    <t>1000234004622</t>
  </si>
  <si>
    <t>6LL15849000S</t>
  </si>
  <si>
    <t>FUSER-FC330-120</t>
  </si>
  <si>
    <t>7019207106D44</t>
  </si>
  <si>
    <t>1000233004622</t>
  </si>
  <si>
    <t>41X2595</t>
  </si>
  <si>
    <t>C1JM38375</t>
  </si>
  <si>
    <t>1000235004622</t>
  </si>
  <si>
    <t>6LJ70396000S</t>
  </si>
  <si>
    <t>BL-FC30TR</t>
  </si>
  <si>
    <t>6LK49015000</t>
  </si>
  <si>
    <t>OD-FC505 K (DRUM)</t>
  </si>
  <si>
    <t>ESTUDIO2010ACU</t>
  </si>
  <si>
    <t>CNLH24187</t>
  </si>
  <si>
    <t>INNOVACCION APLICADA EN TI</t>
  </si>
  <si>
    <t>1000720004599</t>
  </si>
  <si>
    <t>6LJ54025000S</t>
  </si>
  <si>
    <t>GRID-CHARGR-MAIN-H21X (GRID)</t>
  </si>
  <si>
    <t>6LJ70402200</t>
  </si>
  <si>
    <t>OD-FC30N</t>
  </si>
  <si>
    <t>6LJ70994200</t>
  </si>
  <si>
    <t>D-FC30-C (DEVELOPER)</t>
  </si>
  <si>
    <t>6LK49057100S</t>
  </si>
  <si>
    <t>DEV-UNIT-H370-LC</t>
  </si>
  <si>
    <t>6LK49077000</t>
  </si>
  <si>
    <t>BL-FC200D (CLEANING BLADE)</t>
  </si>
  <si>
    <t>701944840T8C9</t>
  </si>
  <si>
    <t>INDUSTRIAL PAPELERA SAN LUIS SA DE CV</t>
  </si>
  <si>
    <t>1000727004599</t>
  </si>
  <si>
    <t>701944840T8H8</t>
  </si>
  <si>
    <t>PROTEINA ANIMAL SA DE CV</t>
  </si>
  <si>
    <t>1000725004599</t>
  </si>
  <si>
    <t>701950240VBPV</t>
  </si>
  <si>
    <t>EMPAQUES Y ENVOLTURAS SA DE CV</t>
  </si>
  <si>
    <t>1000728004599</t>
  </si>
  <si>
    <t>ESTUDIO7527ACT</t>
  </si>
  <si>
    <t>C6EN11484</t>
  </si>
  <si>
    <t>1000729004599</t>
  </si>
  <si>
    <t>6LH02636000</t>
  </si>
  <si>
    <t>COV-TERM-HVT-EPU</t>
  </si>
  <si>
    <t>6LH02638000</t>
  </si>
  <si>
    <t>TERM-HVT-EPU, -11kV</t>
  </si>
  <si>
    <t>ESTUDIO3005ACU</t>
  </si>
  <si>
    <t>6LE50297000</t>
  </si>
  <si>
    <t>ROLLER ASSEMBLY</t>
  </si>
  <si>
    <t>ESTUDIO4528A</t>
  </si>
  <si>
    <t>CTGP40460</t>
  </si>
  <si>
    <t>DISTRIBUIDORA DE LACTEOS ALGIL SA DE CV</t>
  </si>
  <si>
    <t>1000327004569</t>
  </si>
  <si>
    <t>6LK72713000S</t>
  </si>
  <si>
    <t>THMS-HTR-H413-CC</t>
  </si>
  <si>
    <t>6LL39573000S</t>
  </si>
  <si>
    <t>HRNS-CST-COV-K17X</t>
  </si>
  <si>
    <t>701831640LL9T</t>
  </si>
  <si>
    <t>1000328004569</t>
  </si>
  <si>
    <t>41X1164S</t>
  </si>
  <si>
    <t>NAMEPLATE 550</t>
  </si>
  <si>
    <t>41X1185</t>
  </si>
  <si>
    <t>LASER SCANNING UNIT</t>
  </si>
  <si>
    <t>CRIQ87985</t>
  </si>
  <si>
    <t>AUTOTEK MEXICO SA DE CV</t>
  </si>
  <si>
    <t>1000025006449</t>
  </si>
  <si>
    <t>6LL01178000S</t>
  </si>
  <si>
    <t>ASYB-PWA-SYS-H440S</t>
  </si>
  <si>
    <t>701941340M46W</t>
  </si>
  <si>
    <t>TIENDAS FIX</t>
  </si>
  <si>
    <t>1000026006449</t>
  </si>
  <si>
    <t>50X0699S</t>
  </si>
  <si>
    <t>Front door with MPF pick roller</t>
  </si>
  <si>
    <t>S6DQ85783</t>
  </si>
  <si>
    <t>C</t>
  </si>
  <si>
    <t>1000163004983</t>
  </si>
  <si>
    <t>C6KN12934</t>
  </si>
  <si>
    <t>1000261004540</t>
  </si>
  <si>
    <t>6LA04042000</t>
  </si>
  <si>
    <t>ASYS-ROL-SPT</t>
  </si>
  <si>
    <t>701942040MVCN</t>
  </si>
  <si>
    <t>1000201004548</t>
  </si>
  <si>
    <t>CHIP03J</t>
  </si>
  <si>
    <t>CHIP UNIDAD DE IMAGEN 409/479</t>
  </si>
  <si>
    <t>C1LM39707</t>
  </si>
  <si>
    <t>1000075005569</t>
  </si>
  <si>
    <t>6LH68707000S</t>
  </si>
  <si>
    <t>BUSH-6 (BUSHING(BUSH))</t>
  </si>
  <si>
    <t>6LK44136000</t>
  </si>
  <si>
    <t>KIT-BELT-HLDUNIT-FC556 (BELT HOLDER UNIT KIT)</t>
  </si>
  <si>
    <t>X0-00966000S</t>
  </si>
  <si>
    <t>RR/E-5-SS</t>
  </si>
  <si>
    <t>701804230BZNT</t>
  </si>
  <si>
    <t>INMOBILIARIA ZIG SA DE CV</t>
  </si>
  <si>
    <t>1000011006484</t>
  </si>
  <si>
    <t>41X0051S</t>
  </si>
  <si>
    <t>**CH-41X1150; CONTROL PANEL DISPLAY ASSY</t>
  </si>
  <si>
    <t>7020413305K9V</t>
  </si>
  <si>
    <t>JAS FORWARDING DE MEXICO SA DE CV</t>
  </si>
  <si>
    <t>1000233004607</t>
  </si>
  <si>
    <t>OD449WR</t>
  </si>
  <si>
    <t>E-STUDIO479S RETURN PROGRAM IMAGING UNIT</t>
  </si>
  <si>
    <t>7018936306W2T</t>
  </si>
  <si>
    <t>1000333004537</t>
  </si>
  <si>
    <t>40X8800S</t>
  </si>
  <si>
    <t>Media present sensor flag</t>
  </si>
  <si>
    <t>41X1184S</t>
  </si>
  <si>
    <t>FRONT INPUT GUIDE</t>
  </si>
  <si>
    <t>41X1201S</t>
  </si>
  <si>
    <t>POWER SUPPLY, 110V/110V</t>
  </si>
  <si>
    <t>41X1371S</t>
  </si>
  <si>
    <t>REDRIVE ASSEMBLY</t>
  </si>
  <si>
    <t>41X2501S</t>
  </si>
  <si>
    <t>SCANNER READ COVER</t>
  </si>
  <si>
    <t>70204113056V9</t>
  </si>
  <si>
    <t>1000220004565</t>
  </si>
  <si>
    <t>41X1178</t>
  </si>
  <si>
    <t>FUSER 110V</t>
  </si>
  <si>
    <t>C8IP14262</t>
  </si>
  <si>
    <t>WINSTON DATA SA DE CV</t>
  </si>
  <si>
    <t>1000049005421</t>
  </si>
  <si>
    <t>6LH04711200</t>
  </si>
  <si>
    <t>ACT-SW-EMPTY-K18X (ACTUATOR)</t>
  </si>
  <si>
    <t>6LK42409000</t>
  </si>
  <si>
    <t>ESTUDIO7516AC</t>
  </si>
  <si>
    <t>C1LM40009</t>
  </si>
  <si>
    <t>1000206004815</t>
  </si>
  <si>
    <t>6LH02811000S</t>
  </si>
  <si>
    <t>SPG-E-GRID</t>
  </si>
  <si>
    <t>6LK40587000</t>
  </si>
  <si>
    <t>PIN-ARRAY-CHARGR-MAIN-38X (PIN)</t>
  </si>
  <si>
    <t>6LK43607100S</t>
  </si>
  <si>
    <t>D-FC556-M</t>
  </si>
  <si>
    <t>6LL48479000</t>
  </si>
  <si>
    <t>LOCK-EJECT-F (LOCK)</t>
  </si>
  <si>
    <t>701923610B7GW</t>
  </si>
  <si>
    <t>2215352</t>
  </si>
  <si>
    <t>701930810FXHX</t>
  </si>
  <si>
    <t>ADO Y EMPRESAS COORDINADAS SA DE CV</t>
  </si>
  <si>
    <t>2213644</t>
  </si>
  <si>
    <t>701800330970T</t>
  </si>
  <si>
    <t>2213642</t>
  </si>
  <si>
    <t>C6EN11480</t>
  </si>
  <si>
    <t>1000403004598</t>
  </si>
  <si>
    <t>6LJ07912000</t>
  </si>
  <si>
    <t>RAIL-FEED-H13X (RAIL)</t>
  </si>
  <si>
    <t>OPERADORA METROPOLITANA DE CARRETERAS SA DE CV</t>
  </si>
  <si>
    <t>6LJ54055000</t>
  </si>
  <si>
    <t>GEAR-04H-29-9-MIX-AGIR (GEAR)</t>
  </si>
  <si>
    <t>6LJ54057000</t>
  </si>
  <si>
    <t>GEAR-04H-42-6-IDLE-21X (GEAR)</t>
  </si>
  <si>
    <t>C1KM39148</t>
  </si>
  <si>
    <t>SERVICIOS DE DIRECCION EJECUTIVA SA DE CV</t>
  </si>
  <si>
    <t>1000233004588</t>
  </si>
  <si>
    <t>6LK39446000</t>
  </si>
  <si>
    <t>THRMST-HTR-H380 (THERMISTAT ASSEMBLY)</t>
  </si>
  <si>
    <t>6LJ56811000</t>
  </si>
  <si>
    <t>BUSH-CST-H21X (BUSH)</t>
  </si>
  <si>
    <t>ESTUDIO400AC</t>
  </si>
  <si>
    <t>CRJM41817</t>
  </si>
  <si>
    <t>APOYO AL DESARROLLO MEXICANO SC</t>
  </si>
  <si>
    <t>1000294004566</t>
  </si>
  <si>
    <t>6LL10719000S</t>
  </si>
  <si>
    <t>ASY-HOME-SNR-FB</t>
  </si>
  <si>
    <t>6LL10722000S</t>
  </si>
  <si>
    <t>ASY-TRANSMISSION-FB</t>
  </si>
  <si>
    <t>70204032045NN</t>
  </si>
  <si>
    <t>AGROINDUSTRIAL UUMBAL</t>
  </si>
  <si>
    <t>1000231004589</t>
  </si>
  <si>
    <t>41X6161</t>
  </si>
  <si>
    <t>6LJ54056000</t>
  </si>
  <si>
    <t>GEAR-04H-29-9-MIX-SPLR (GEAR)</t>
  </si>
  <si>
    <t>CSLM26943</t>
  </si>
  <si>
    <t>1000271004578</t>
  </si>
  <si>
    <t>6LL47242000</t>
  </si>
  <si>
    <t>ASYB-OLED-HEAD-SVP (LED HEAD)</t>
  </si>
  <si>
    <t>6LL47242000S</t>
  </si>
  <si>
    <t>ASYB-OLED-HEAD-SVP</t>
  </si>
  <si>
    <t>C8JN12039</t>
  </si>
  <si>
    <t>DESARROLLO CORPORATIVO DE NEGOCIOS EN TECNOLOGIA DE LA INFORMACION SA DE CV</t>
  </si>
  <si>
    <t>1000109004546</t>
  </si>
  <si>
    <t>6LH03981000</t>
  </si>
  <si>
    <t>BELT-TBU-G-F43X</t>
  </si>
  <si>
    <t>6LH04711100</t>
  </si>
  <si>
    <t>ACT-SW-EMPTY-430_S (ACTUATOR)</t>
  </si>
  <si>
    <t>6LK43647000</t>
  </si>
  <si>
    <t>PR-FC556-FU (PRESS ROLLER (BL-FC556-TBU))</t>
  </si>
  <si>
    <t>6LK41562000</t>
  </si>
  <si>
    <t>ROL-KIT-FC75-U (PM KIT)*</t>
  </si>
  <si>
    <t>1170-7314</t>
  </si>
  <si>
    <t>STRETCH'n DUST CLEANING WIPES</t>
  </si>
  <si>
    <t>701930810FXP7</t>
  </si>
  <si>
    <t>1000195004576</t>
  </si>
  <si>
    <t>41X2980S</t>
  </si>
  <si>
    <t>Scanner with fax card (MB3442, MX431, XM1342)</t>
  </si>
  <si>
    <t>7019232109FV3</t>
  </si>
  <si>
    <t>CRISTALERIAS PARA EL HOGAR SA DE CV</t>
  </si>
  <si>
    <t>1000269004527</t>
  </si>
  <si>
    <t>41X2510S</t>
  </si>
  <si>
    <t>ADF cover</t>
  </si>
  <si>
    <t>70180033096X7</t>
  </si>
  <si>
    <t>1000121005739</t>
  </si>
  <si>
    <t>ESTUDIO2018AU</t>
  </si>
  <si>
    <t>CZCJ46926</t>
  </si>
  <si>
    <t>CONSORCIO INTERAMERICANO DE COMUNICACION SA DE CV</t>
  </si>
  <si>
    <t>1000605004567</t>
  </si>
  <si>
    <t>CFJF61642</t>
  </si>
  <si>
    <t>EULEN MEXICO DE SERVICIOS</t>
  </si>
  <si>
    <t>1000608004567</t>
  </si>
  <si>
    <t>701935140KMXM</t>
  </si>
  <si>
    <t>1000604004567</t>
  </si>
  <si>
    <t>7019138103VDW</t>
  </si>
  <si>
    <t>1000607004567</t>
  </si>
  <si>
    <t>ESTUDIO5506ACU</t>
  </si>
  <si>
    <t>CHEH27195</t>
  </si>
  <si>
    <t>1000606004567</t>
  </si>
  <si>
    <t>6LK41146000</t>
  </si>
  <si>
    <t>ASYS-CLN-RLR-TBU-H38X (CLEABER FELT)</t>
  </si>
  <si>
    <t>6LK41162000</t>
  </si>
  <si>
    <t>BL-FC556-TBU (BLADE)</t>
  </si>
  <si>
    <t>701935140KN5D</t>
  </si>
  <si>
    <t>JOHNSON CONTROLS ENTERPRISES MEXICO S DE RL DE CV</t>
  </si>
  <si>
    <t>1000433004642</t>
  </si>
  <si>
    <t>C6KN12742</t>
  </si>
  <si>
    <t>AISIN MEXICANA SA DE CV</t>
  </si>
  <si>
    <t>1000432004642</t>
  </si>
  <si>
    <t>6LK40608000</t>
  </si>
  <si>
    <t>BL-FC556D (BLADE)</t>
  </si>
  <si>
    <t>6LK54189000</t>
  </si>
  <si>
    <t>ASYS-ROL-RETARD (ROLLER ASSEMBLY)</t>
  </si>
  <si>
    <t>6LK56800000</t>
  </si>
  <si>
    <t>ASYS-ROL-FEED (ROLLER ASSEMBLY)</t>
  </si>
  <si>
    <t>6LK56966000S</t>
  </si>
  <si>
    <t>ASYS-ROL-PICKUP-S20</t>
  </si>
  <si>
    <t>CIBH26259</t>
  </si>
  <si>
    <t>1000434004642</t>
  </si>
  <si>
    <t>6LJ07183100</t>
  </si>
  <si>
    <t>RLR-CLN-TBU-H130-PBF2 (ROLLER)</t>
  </si>
  <si>
    <t>S8LN81654</t>
  </si>
  <si>
    <t>1000431004642</t>
  </si>
  <si>
    <t>CKAP32782</t>
  </si>
  <si>
    <t>1000679004936</t>
  </si>
  <si>
    <t>6LJ78116000</t>
  </si>
  <si>
    <t>HR-2505-U (HEAT ROLLER ASSEMBLY UPPER)</t>
  </si>
  <si>
    <t>CKAP32818</t>
  </si>
  <si>
    <t>1000678004936</t>
  </si>
  <si>
    <t>6LJ78088000S</t>
  </si>
  <si>
    <t>HR-2809-L</t>
  </si>
  <si>
    <t>CRCP67446</t>
  </si>
  <si>
    <t>1000688004936</t>
  </si>
  <si>
    <t>ESTUDIO331AC</t>
  </si>
  <si>
    <t>SWCR83631</t>
  </si>
  <si>
    <t>VALVULAS URREA SA DE CV</t>
  </si>
  <si>
    <t>1000690004936</t>
  </si>
  <si>
    <t>6LL01209000S</t>
  </si>
  <si>
    <t>ASYB-LGC-K250S</t>
  </si>
  <si>
    <t>SSJP84703</t>
  </si>
  <si>
    <t>1000689004936</t>
  </si>
  <si>
    <t>C1BN40652</t>
  </si>
  <si>
    <t>1000684004936</t>
  </si>
  <si>
    <t>6LK53971000</t>
  </si>
  <si>
    <t>LEVER-RETARD (LEVER)</t>
  </si>
  <si>
    <t>CKDN30259</t>
  </si>
  <si>
    <t>GENERAC MEXICO SA DE CV</t>
  </si>
  <si>
    <t>Dispatch</t>
  </si>
  <si>
    <t>1000154005600</t>
  </si>
  <si>
    <t>CTLN14710</t>
  </si>
  <si>
    <t>1000156005600</t>
  </si>
  <si>
    <t>6LK72101000</t>
  </si>
  <si>
    <t>HR-5008A-L * (HEAT ROLLER ASSY)</t>
  </si>
  <si>
    <t>6LL33301000</t>
  </si>
  <si>
    <t>OD-3028 (DRUM ASSEMBLY)</t>
  </si>
  <si>
    <t>CNKK10354</t>
  </si>
  <si>
    <t>SERVICIOS DE ADMINISTRACION PARA ENERGIA Y PETROLEO SA DE CV</t>
  </si>
  <si>
    <t>1000295004931</t>
  </si>
  <si>
    <t>6LK83613000S</t>
  </si>
  <si>
    <t>ASYB-PWA-SYS-K100WS</t>
  </si>
  <si>
    <t>CSJM20989</t>
  </si>
  <si>
    <t>1000297004931</t>
  </si>
  <si>
    <t>6LJ55415000S</t>
  </si>
  <si>
    <t>SP-AUGER-G10-P5-S1</t>
  </si>
  <si>
    <t>6LJ70994000S</t>
  </si>
  <si>
    <t>Yellow Developer TOSHIBA e2051C/e2551C/e2050C/e2550C</t>
  </si>
  <si>
    <t>6LJ70994100S</t>
  </si>
  <si>
    <t>D-FC30-M</t>
  </si>
  <si>
    <t>6LJ70994200S</t>
  </si>
  <si>
    <t>CSJM21187,</t>
  </si>
  <si>
    <t>1000296004931</t>
  </si>
  <si>
    <t>6LL41340000</t>
  </si>
  <si>
    <t>**CH-6LL41518000; ASYB-PWA-SYS-K160S</t>
  </si>
  <si>
    <t>70204092052LM</t>
  </si>
  <si>
    <t>1000158005570</t>
  </si>
  <si>
    <t>ESTUDIO330ACU</t>
  </si>
  <si>
    <t>CRKM43284</t>
  </si>
  <si>
    <t>HERSHEY MEXICO SA DE CV</t>
  </si>
  <si>
    <t>1000088004971</t>
  </si>
  <si>
    <t>E0-14613000S</t>
  </si>
  <si>
    <t>PS-12C02-F NS</t>
  </si>
  <si>
    <t>C8IP14252</t>
  </si>
  <si>
    <t>1000253005015</t>
  </si>
  <si>
    <t>6LK46174000S</t>
  </si>
  <si>
    <t>MOTR_S-SCN-37X-N</t>
  </si>
  <si>
    <t>6LL40974000</t>
  </si>
  <si>
    <t>THMS-HTR-K180 (THERMISTOR)</t>
  </si>
  <si>
    <t>7019138103VBZ</t>
  </si>
  <si>
    <t>1000078005055</t>
  </si>
  <si>
    <t>41X2575</t>
  </si>
  <si>
    <t>PICK SEPARATOR ROLLER</t>
  </si>
  <si>
    <t>CKAP32792</t>
  </si>
  <si>
    <t>1000438005226</t>
  </si>
  <si>
    <t>7019138103VBG</t>
  </si>
  <si>
    <t>MILENIO MOTORS SA DE CV</t>
  </si>
  <si>
    <t>1000444005226</t>
  </si>
  <si>
    <t>7020413305KFV</t>
  </si>
  <si>
    <t>GELPHARMA SA DE CV</t>
  </si>
  <si>
    <t>1000443005226</t>
  </si>
  <si>
    <t>C6KN12918</t>
  </si>
  <si>
    <t>1000445005226</t>
  </si>
  <si>
    <t>6LH05188100</t>
  </si>
  <si>
    <t>ARM-TRAY-SFB-F_B (ARM)</t>
  </si>
  <si>
    <t>6LA29006700</t>
  </si>
  <si>
    <t>LEVER-GUIDE-S_GG (LEVER)</t>
  </si>
  <si>
    <t>6LA29007000</t>
  </si>
  <si>
    <t>SPG-GUIDE-F</t>
  </si>
  <si>
    <t>6LH05172200</t>
  </si>
  <si>
    <t>GUIDE-TRAY-FRT-H38X (GUIDE)</t>
  </si>
  <si>
    <t>6LK41735000</t>
  </si>
  <si>
    <t>BRUSH-SIDE-WALL-F-N (BRUSH)</t>
  </si>
  <si>
    <t>6LK76116100</t>
  </si>
  <si>
    <t>LEVER-CHARGR-MAIN-GN (LEVER)</t>
  </si>
  <si>
    <t>CSLM26867</t>
  </si>
  <si>
    <t>MOTORES ELECTRICOS SUMERGIBLES DE MEXICO S DE RL DE CV</t>
  </si>
  <si>
    <t>Wait For Time</t>
  </si>
  <si>
    <t>1000283005275</t>
  </si>
  <si>
    <t>1000284005275</t>
  </si>
  <si>
    <t>1000285005275</t>
  </si>
  <si>
    <t>ESTUDIO2528A</t>
  </si>
  <si>
    <t>CTDP29719</t>
  </si>
  <si>
    <t>MONDI MEXICO</t>
  </si>
  <si>
    <t>1000286005275</t>
  </si>
  <si>
    <t>1000287005275</t>
  </si>
  <si>
    <t>6LK72102000</t>
  </si>
  <si>
    <t>HR-3008A-L * (HEAT ROLLER ASSY)</t>
  </si>
  <si>
    <t>1000288005275</t>
  </si>
  <si>
    <t>6LL37515000</t>
  </si>
  <si>
    <t>D-3028 (DEVELOPER)</t>
  </si>
  <si>
    <t>CNGK16788</t>
  </si>
  <si>
    <t>1000112005287</t>
  </si>
  <si>
    <t>G0-00728000S</t>
  </si>
  <si>
    <t>MQ01ABF032 (HARD DISK DRIVE 320GB TSB)</t>
  </si>
  <si>
    <t>C1IM37997</t>
  </si>
  <si>
    <t>1000182005286</t>
  </si>
  <si>
    <t>X0-00059000S</t>
  </si>
  <si>
    <t>S/PAN/SWWS-M3X6-NI</t>
  </si>
  <si>
    <t>C2LM42839</t>
  </si>
  <si>
    <t>AS MAQUILA MEXICO S DE RL DE CV</t>
  </si>
  <si>
    <t>1000061005707</t>
  </si>
  <si>
    <t>CSKN22496</t>
  </si>
  <si>
    <t>VITAE LABORATORIOS SA DE CV</t>
  </si>
  <si>
    <t>1000395006262</t>
  </si>
  <si>
    <t>CKAP32791</t>
  </si>
  <si>
    <t>1000396006262</t>
  </si>
  <si>
    <t>6LJ75285000S</t>
  </si>
  <si>
    <t>ASYS-PAD-CST-H394-2</t>
  </si>
  <si>
    <t>1000397006262</t>
  </si>
  <si>
    <t>6LJ75249000S</t>
  </si>
  <si>
    <t>ASYS-ROL-F32</t>
  </si>
  <si>
    <t>1000398006262</t>
  </si>
  <si>
    <t>6LJ80668000S</t>
  </si>
  <si>
    <t>SP_PAD_ASSY</t>
  </si>
  <si>
    <t>1000399006262</t>
  </si>
  <si>
    <t>6LJ80576000S</t>
  </si>
  <si>
    <t>PICK_UP_ROLLER_ASSY</t>
  </si>
  <si>
    <t>1000400006262</t>
  </si>
  <si>
    <t>6LJ80575000S</t>
  </si>
  <si>
    <t>ADF_ROLLER_ASSY</t>
  </si>
  <si>
    <t>702040320469X</t>
  </si>
  <si>
    <t>LABORATORIOS SOPHIA SA DE CV</t>
  </si>
  <si>
    <t>1000394006262</t>
  </si>
  <si>
    <t>41X1196S</t>
  </si>
  <si>
    <t>PICK ROLLER ASSEMBLY</t>
  </si>
  <si>
    <t>S6AQ84806</t>
  </si>
  <si>
    <t>1000087006349</t>
  </si>
  <si>
    <t>6LK43607300</t>
  </si>
  <si>
    <t>D-FC556-K (DEVELOPER CARTRIDGE)</t>
  </si>
  <si>
    <t>CKDN30258</t>
  </si>
  <si>
    <t>1000032006485</t>
  </si>
  <si>
    <t>CTHP42059</t>
  </si>
  <si>
    <t>1000031006485</t>
  </si>
  <si>
    <t>6LK72101000S</t>
  </si>
  <si>
    <t>HR-5008A-L</t>
  </si>
  <si>
    <t>701822140G4W5</t>
  </si>
  <si>
    <t>POLIMEROS Y DERIVADOS SA DE CV</t>
  </si>
  <si>
    <t>1000033006485</t>
  </si>
  <si>
    <t>ANGULO FRIAS, JORGE SAUL</t>
  </si>
  <si>
    <t>ARANDA GONZALEZ, SAMUEL</t>
  </si>
  <si>
    <t>AYODORO LOPEZ, SAUL ISIDRO</t>
  </si>
  <si>
    <t>BARAJAS VELAZQUEZ, GERARDO</t>
  </si>
  <si>
    <t>BECERRIL MARTINEZ, EDUARDO TRINIDAD</t>
  </si>
  <si>
    <t>BOLANOS CASTILLO, JULIO CESAR</t>
  </si>
  <si>
    <t>CARAVEZ LOPEZ, MIGUEL ALEJANDRO</t>
  </si>
  <si>
    <t>CORDOBA VELAZQUEZ, BULMARO</t>
  </si>
  <si>
    <t>COTA OJEDA, FEDEL</t>
  </si>
  <si>
    <t>DESAMPEDRO FERNANDEZ, ULISES</t>
  </si>
  <si>
    <t>ESPINOSA VAZQUEZ, GERARDO</t>
  </si>
  <si>
    <t>ESQUIVEL SILVA, DAVID</t>
  </si>
  <si>
    <t>FARFAN GONZALEZ, JOSE CIRINO</t>
  </si>
  <si>
    <t>FLORES PEREZ, JOSUE</t>
  </si>
  <si>
    <t>GARCIA LUCERO, JESUS DANIEL</t>
  </si>
  <si>
    <t>GARCIA ROBLEDO, RIGOBERTO</t>
  </si>
  <si>
    <t>GARZA DE LA CRUZ, GERARDO</t>
  </si>
  <si>
    <t>GOMEZ GARCIA, ARTURO</t>
  </si>
  <si>
    <t>GUERRA PEREZ, JOSE MANUEL</t>
  </si>
  <si>
    <t>GUERRERO LUNA, LUIS</t>
  </si>
  <si>
    <t>HERNANDEZ DOMINGUEZ, ANGEL ALFREDO</t>
  </si>
  <si>
    <t>HERNANDEZ MARTINEZ, GERMAN</t>
  </si>
  <si>
    <t>LOPEZ LOPEZ, ADRIAN ALEJANDRO</t>
  </si>
  <si>
    <t>MARTINEZ VIDAL, EDGAR</t>
  </si>
  <si>
    <t>MENDEZ ESPINOZA, CESAR</t>
  </si>
  <si>
    <t>MENDOZA MARTINEZ, DAVID ULISES</t>
  </si>
  <si>
    <t>MUNOZ RAMOS, CUAUHTEMOC</t>
  </si>
  <si>
    <t>PEREZ DIAZ, JUAN MANUEL</t>
  </si>
  <si>
    <t>RAMIREZ LOPEZ, SAUL</t>
  </si>
  <si>
    <t>RAMON DE DIOS, ROMAN</t>
  </si>
  <si>
    <t>RIVERA CONTRERAS, JESUS</t>
  </si>
  <si>
    <t>RIVERA CRUZ, OMAR ALEJANDRO</t>
  </si>
  <si>
    <t>RODRIGUEZ FUENTES, LUIS</t>
  </si>
  <si>
    <t>SERAPIO GARCIA, JULIO CESAR</t>
  </si>
  <si>
    <t>TREJO AGUILAR, JOSE RODRIGO</t>
  </si>
  <si>
    <t>RODRIGUEZ RODRIGUEZ, JOSUE ROBERTO</t>
  </si>
  <si>
    <t>MANZO VAZQUEZ, CESAR EDUARDO</t>
  </si>
  <si>
    <t>GARCIA RUIZ, ROBERTO</t>
  </si>
  <si>
    <t>AVILA LOPEZ, JORGE ANTONIO</t>
  </si>
  <si>
    <t>BAUTISTA VAZQUEZ, BRAYAN OMAR</t>
  </si>
  <si>
    <t>ANDRADE PELAYO, ROSMAN JAVIER</t>
  </si>
  <si>
    <t>CALLEJAS LAZARO, DAVID</t>
  </si>
  <si>
    <t>FLORES CRUZ, MARCO ANTONIO</t>
  </si>
  <si>
    <t>DAVALOS GARCIA, HECTOR ALBERTO</t>
  </si>
  <si>
    <t>REBELEZ GARZA, JOSE MANUEL</t>
  </si>
  <si>
    <t>SANCHEZ MONTANO, MARCOS UBALDO</t>
  </si>
  <si>
    <t>ALFARO VILLASENOR, MIGUEL ANGEL</t>
  </si>
  <si>
    <t>MORALES NAZARIO, CARLOS ALBERTO</t>
  </si>
  <si>
    <t>ESPINOZA MARES, BRYAN TONATIUH</t>
  </si>
  <si>
    <t>DE LA TORRE PECINA, JESUS OMAR</t>
  </si>
  <si>
    <t>PARDO TORRES, CLAUDIO JONATHAN</t>
  </si>
  <si>
    <t>SR</t>
  </si>
  <si>
    <t>Task</t>
  </si>
  <si>
    <t>Estatus</t>
  </si>
  <si>
    <t>Pedido</t>
  </si>
  <si>
    <t>Pending days without delivery</t>
  </si>
  <si>
    <t>Comentarios de Almacen</t>
  </si>
  <si>
    <t>SIN PROCESAR</t>
  </si>
  <si>
    <t>ENTREGADO</t>
  </si>
  <si>
    <t>ENTREGADO EN OCURRE</t>
  </si>
  <si>
    <t>ENVIADO SIN  ENTREGAR</t>
  </si>
  <si>
    <t>SIN ENVIAR</t>
  </si>
  <si>
    <t>957256-957465-957357</t>
  </si>
  <si>
    <t>958083-958086</t>
  </si>
  <si>
    <t>957733-957734</t>
  </si>
  <si>
    <t>CANIBALIZANDO</t>
  </si>
  <si>
    <t>RECIBIDO POR YAZIRA SANTOS-SERVICENTRO</t>
  </si>
  <si>
    <t>ITEM  6LK40607000 COMPRA 13 OCT (PROBABLE ETA 19 OCT)</t>
  </si>
  <si>
    <t>GUIA 3718269704 EN ESPERA DE SER RECOLECTADO 08 OCT</t>
  </si>
  <si>
    <t>CONSOLIDADOS EN OFICINAS GDL RECIBIDO POR FERNANDA GONZALEZ</t>
  </si>
  <si>
    <t>ITEM 41X2880 ETA 12 OCT</t>
  </si>
  <si>
    <t>RECIBIDO POR JULIO CESAR BOLAÑOS</t>
  </si>
  <si>
    <t>RECIBIDO POR MAX HERNANDEZ</t>
  </si>
  <si>
    <t>GUIA 5003142760 ENTREGA ESTIMADA 15 OCT</t>
  </si>
  <si>
    <t>RECIBIDO POR EDITH GARCIA</t>
  </si>
  <si>
    <t>RECIBIDO POR ROCIO MRUIZ -CASA DE EMPENO</t>
  </si>
  <si>
    <t>RECIBIDO POR CRISTINA RAMIREZ</t>
  </si>
  <si>
    <t>RECIBIDO POR CORDOBA VELAZQUEZ BULMARO</t>
  </si>
  <si>
    <t>GUIA 1659196066 SE ENVIA HOY 09 OCT</t>
  </si>
  <si>
    <t>RECIBIDO POR GERARDO ESPINOSA</t>
  </si>
  <si>
    <t>GUIA 1895738504 EN ESPERA DE SER RECOLECTAOD 09 OCT</t>
  </si>
  <si>
    <t>957256-957357 RECIBIDO POR ANAHI HERNANDEZ-957465 RECIBIDO POR ANAHI HERNANDEZ</t>
  </si>
  <si>
    <t>GUIA 5802099656 SE ENVIA HOY 09 OCT</t>
  </si>
  <si>
    <t>CONSOLIDADOS EN OFICINAS MTY RECIBIDO POR SANDRA ESTRADA</t>
  </si>
  <si>
    <t>GUIA 5802069464 SE ENVIA HOY 09 OCT</t>
  </si>
  <si>
    <t>RECIBIDO POR EUGENIA MORA</t>
  </si>
  <si>
    <t>RECIBIDO POR LETICIA SALGADO</t>
  </si>
  <si>
    <t>GUIA 8941008775 EN ESPERA DE SER RECOLECTADO 09 OCT</t>
  </si>
  <si>
    <t>GUIA 1659275122 SE ENVIA HOY 09 OCT</t>
  </si>
  <si>
    <t>RECIBIDO POR LUIS GUERRERO</t>
  </si>
  <si>
    <t>RECIBIDO POR ANDRES LOPEZ</t>
  </si>
  <si>
    <t>RECIBIDO POR DIANA LUIS-MOSTRADOR</t>
  </si>
  <si>
    <t>ITEM 6LK40607000 COMPRA 13 OCT (PROBABLE ETA 19 OCT)</t>
  </si>
  <si>
    <t>RECIBIDO POR EDGAR MARTINEZ VIDAL</t>
  </si>
  <si>
    <t>RECIBIDO POR JOSE LARA</t>
  </si>
  <si>
    <t>RECIBIDO POR ERNESTO RAMIREZ</t>
  </si>
  <si>
    <t>RECIBIDO POR JORGE AVILA</t>
  </si>
  <si>
    <t>GESTIONA MTY RECIBIDO POR DAVID ULISES</t>
  </si>
  <si>
    <t>GUIA 8940963555 ENTREGA ESTIMADA 09 OCT</t>
  </si>
  <si>
    <t>RECIBIDO POR JAN MANUEL PEREZ</t>
  </si>
  <si>
    <t>GUIA 1659253024 SE ENVIA HOY 09 OCT</t>
  </si>
  <si>
    <t>958083 GESTIONA PARTES CONSOLIDADOS EN OFICINAS MTY RECIBIDO POR SANDRA ESTRADA-958086 GESTIONA MTY TECNICO PASA A RECOGER</t>
  </si>
  <si>
    <t>GUIA 5802104501 SE ENVIA HOY 09 OCT</t>
  </si>
  <si>
    <t>GUIA 1659251731 SE ENVIA HOY 09 OCT</t>
  </si>
  <si>
    <t>GUIA 2079222880 EN ESPERA DE SER RECOLECTADO 09 OCT</t>
  </si>
  <si>
    <t>CONSOLIDADOS EN OFICINAS GDL RECIBIDO POR VICTOR MIRAMONTES</t>
  </si>
  <si>
    <t>CONSOLIDADOS EN OFICINAS GDL RECIBIDO POR JAIME PEREZ</t>
  </si>
  <si>
    <t>ITEM 6LK41162000,6LK41146000 COMPRA 13 OCT ( PROBABLE ETA 19 OCT)</t>
  </si>
  <si>
    <t>957733 GESTIONA MTY RECIBIDO POR JOSUE RODRIGUEZ-957734 GESTIONA PARTES CONSOLIDADOS EN OFICINAS MTY RECIBIDO POR MAURICIO SALDANA</t>
  </si>
  <si>
    <t>ITEM 6LJ78116000, 6LJ83358000 ETA 12 OCT</t>
  </si>
  <si>
    <t>RECIBIDO POR MARIELA AVILA</t>
  </si>
  <si>
    <t>CONSOLIDADOS EN OFICINAS GDL SE ENVIA HOY 09 OCT</t>
  </si>
  <si>
    <t>ITEM 6LK49015000 ETA 12 OCT</t>
  </si>
  <si>
    <t>ITEM 6LK41162000 ETA 12 OCT</t>
  </si>
  <si>
    <t>RECIBIDO POR ROBERTO GARCIA RUIZ</t>
  </si>
  <si>
    <t>GUIA 1895685794 ENTREGA ESTIMADA 09 OCT</t>
  </si>
  <si>
    <t>GUIA 7856750451 EN ESPERA DE SER RECOELCTADO 08 OCT</t>
  </si>
  <si>
    <t xml:space="preserve">GUIA 1659248463 SE ENVIA HOY 09 OCT </t>
  </si>
  <si>
    <t>GUIA 1659250666 SE ENVIA HOY 09 OCT</t>
  </si>
  <si>
    <t>ITEM  6LJ83358000 ETA 12 OCT</t>
  </si>
  <si>
    <t>GESTIONA GDL RECIBIDO POR AMERICA TAPIA VENTAS</t>
  </si>
  <si>
    <t>GESTIONA GDL RECIBIDO POR CA SALAZAR</t>
  </si>
  <si>
    <t>GESTIONA MTY ENTREGA APROX 12 OCT</t>
  </si>
  <si>
    <t>ITEM 6LK40607000 SE SOLICITA DE CAJUELA</t>
  </si>
  <si>
    <t>GUIA 7856908371 EN ESPERA DE SER RECOLECTADO 08 OCT</t>
  </si>
  <si>
    <t>RECIBIDO POR JOSE LUIS GUTIÉRREZ</t>
  </si>
  <si>
    <t>GUIA 8941007600 EN RUTA CON MENSAJERO 09 OCT</t>
  </si>
  <si>
    <t>Etiquetas de fila</t>
  </si>
  <si>
    <t>Total general</t>
  </si>
  <si>
    <t>Cuenta de Order Number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</si>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</sst>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/mmm/yy"/>
  </numFmts>
  <fonts count="4" x14ac:knownFonts="1">
    <font>
      <sz val="11"/>
      <color theme="1"/>
      <name val="Calibri"/>
    </font>
    <font>
      <sz val="8"/>
      <color theme="1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/>
    <xf numFmtId="0" fontId="1" fillId="3" borderId="1" xfId="0" applyFont="1" applyFill="1" applyBorder="1" applyAlignment="1">
      <alignment horizontal="left" vertical="top"/>
    </xf>
    <xf numFmtId="164" fontId="1" fillId="3" borderId="1" xfId="0" applyNumberFormat="1" applyFont="1" applyFill="1" applyBorder="1" applyAlignment="1">
      <alignment horizontal="left" vertical="top"/>
    </xf>
    <xf numFmtId="1" fontId="1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165" fontId="3" fillId="0" borderId="0" xfId="1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DA31917B-17E2-49CA-B614-CE65986B21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307.382634490743" createdVersion="8" refreshedVersion="8" minRefreshableVersion="3" recordCount="213" xr:uid="{014D2036-3688-480D-8ADD-67285C94673F}">
  <cacheSource type="worksheet">
    <worksheetSource ref="A2:T215" sheet="Sheet1"/>
  </cacheSource>
  <cacheFields count="20">
    <cacheField name="Engineer" numFmtId="0">
      <sharedItems/>
    </cacheField>
    <cacheField name="Model" numFmtId="0">
      <sharedItems/>
    </cacheField>
    <cacheField name="Serial Number" numFmtId="0">
      <sharedItems/>
    </cacheField>
    <cacheField name="Customer" numFmtId="0">
      <sharedItems count="53">
        <s v="FINPROSPERA"/>
        <s v="F RAPIDO SA DE CV"/>
        <s v="OFFICE DEPOT DE MEXICO SA DE CV"/>
        <s v="CRISTALERIAS PARA EL HOGAR SA DE CV"/>
        <s v="ADO Y EMPRESAS COORDINADAS SA DE CV"/>
        <s v="AGROINDUSTRIAL UUMBAL"/>
        <s v="DESARROLLO CORPORATIVO DE NEGOCIOS EN TECNOLOGIA DE LA INFORMACION SA DE CV"/>
        <s v="HERSHEY MEXICO SA DE CV"/>
        <s v="TRUPER SA DE CV"/>
        <s v="OPERADORA METROPOLITANA DE CARRETERAS SA DE CV"/>
        <s v="BRADY MEXICO S DE RL DE CV"/>
        <s v="TAYLOR LABELING SOLUTIONS"/>
        <s v="INDUSTRIAL PAPELERA SAN LUIS SA DE CV"/>
        <s v="EMPAQUES Y ENVOLTURAS SA DE CV"/>
        <s v="DISTRIBUIDORA DE LACTEOS ALGIL SA DE CV"/>
        <s v="WINSTON DATA SA DE CV"/>
        <s v="SERVICIOS DE DIRECCION EJECUTIVA SA DE CV"/>
        <s v="INNOVACCION APLICADA EN TI"/>
        <s v="VALVULAS URREA SA DE CV"/>
        <s v="RECAL ESTRUCTURAS SA DE CV"/>
        <s v="ENVASES UNIVERSALES DE MEXICO SAPI DE CV"/>
        <s v="SERVICIOS DE ADMINISTRACION PARA ENERGIA Y PETROLEO SA DE CV"/>
        <s v="MONDI MEXICO"/>
        <s v="AS MAQUILA MEXICO S DE RL DE CV"/>
        <s v="ESTRELLA DE ORO SA DE CV MEXICO-ACAPULCO-ZIHUATANEJO"/>
        <s v="RADEC SA DE CV"/>
        <s v="ULTRA LABORATORIOS SA DE CV"/>
        <s v="COMPANIA FERRETERA NUEVO MUNDO S DE RL DE CV"/>
        <s v="KB TEL TELECOMUNICACIONES SA DE CV"/>
        <s v="GRUPO COMERCIAL DSW SA DE CV"/>
        <s v="INMOBILIARIA ZIG SA DE CV"/>
        <s v="INFRA SA DE CV"/>
        <s v="TIENDAS EXTRA"/>
        <s v="PROYECTOS METALICOS FERRO SA DE CV"/>
        <s v="EZPAWN MANAGEMENT MEXICO S DE RL DE CV"/>
        <s v="DX XPRESS SA DE CV"/>
        <s v="RED AMBIENTAL SERVICIOS"/>
        <s v="PROTEINA ANIMAL SA DE CV"/>
        <s v="AUTOTEK MEXICO SA DE CV"/>
        <s v="TIENDAS FIX"/>
        <s v="JAS FORWARDING DE MEXICO SA DE CV"/>
        <s v="APOYO AL DESARROLLO MEXICANO SC"/>
        <s v="CONSORCIO INTERAMERICANO DE COMUNICACION SA DE CV"/>
        <s v="EULEN MEXICO DE SERVICIOS"/>
        <s v="JOHNSON CONTROLS ENTERPRISES MEXICO S DE RL DE CV"/>
        <s v="AISIN MEXICANA SA DE CV"/>
        <s v="GENERAC MEXICO SA DE CV"/>
        <s v="MILENIO MOTORS SA DE CV"/>
        <s v="GELPHARMA SA DE CV"/>
        <s v="MOTORES ELECTRICOS SUMERGIBLES DE MEXICO S DE RL DE CV"/>
        <s v="VITAE LABORATORIOS SA DE CV"/>
        <s v="LABORATORIOS SOPHIA SA DE CV"/>
        <s v="POLIMEROS Y DERIVADOS SA DE CV"/>
      </sharedItems>
    </cacheField>
    <cacheField name="Call Date" numFmtId="164">
      <sharedItems containsSemiMixedTypes="0" containsNonDate="0" containsDate="1" containsString="0" minDate="2026-09-15T00:00:00" maxDate="2026-10-13T00:00:00"/>
    </cacheField>
    <cacheField name="SR" numFmtId="0">
      <sharedItems containsSemiMixedTypes="0" containsString="0" containsNumber="1" containsInteger="1" minValue="21182372" maxValue="21459508"/>
    </cacheField>
    <cacheField name="Task" numFmtId="0">
      <sharedItems containsSemiMixedTypes="0" containsString="0" containsNumber="1" containsInteger="1" minValue="20641377" maxValue="20811925"/>
    </cacheField>
    <cacheField name="Type" numFmtId="0">
      <sharedItems/>
    </cacheField>
    <cacheField name="Problem" numFmtId="0">
      <sharedItems/>
    </cacheField>
    <cacheField name="Status" numFmtId="0">
      <sharedItems/>
    </cacheField>
    <cacheField name="Order Number" numFmtId="0">
      <sharedItems count="108">
        <s v="1000274004595"/>
        <s v="1000679004936"/>
        <s v="1000678004936"/>
        <s v="1000438005226"/>
        <s v="1000684004936"/>
        <s v="1000269004527"/>
        <s v="1000195004576"/>
        <s v="1000445005226"/>
        <s v="1000261004540"/>
        <s v="1000231004589"/>
        <s v="1000109004546"/>
        <s v="1000088004971"/>
        <s v="1000253005015"/>
        <s v="1000112005287"/>
        <s v="1000087006349"/>
        <s v="1000057006299"/>
        <s v="1000151004591"/>
        <s v="1000275004595"/>
        <s v="1000727004599"/>
        <s v="1000728004599"/>
        <s v="1000327004569"/>
        <s v="1000049005421"/>
        <s v="1000271004578"/>
        <s v="1000606004567"/>
        <s v="1000690004936"/>
        <s v="1000689004936"/>
        <s v="1000156005600"/>
        <s v="1000295004931"/>
        <s v="1000297004931"/>
        <s v="1000286005275"/>
        <s v="1000287005275"/>
        <s v="1000288005275"/>
        <s v="1000061005707"/>
        <s v="1000216004590"/>
        <s v="1000276005643"/>
        <s v="1000275005643"/>
        <s v="1000274005643"/>
        <s v="1000364004524"/>
        <s v="1000363004524"/>
        <s v="1000019006486"/>
        <s v="1000256004558"/>
        <s v="1000577004594"/>
        <s v="1000729004599"/>
        <s v="1000328004569"/>
        <s v="1000075005569"/>
        <s v="1000011006484"/>
        <s v="1000607004567"/>
        <s v="1000434004642"/>
        <s v="1000078005055"/>
        <s v="1000058006299"/>
        <s v="1000056006299"/>
        <s v="1000055006299"/>
        <s v="1000215004590"/>
        <s v="1000272005643"/>
        <s v="1000358004524"/>
        <s v="2214702"/>
        <s v="2214705"/>
        <s v="2214704"/>
        <s v="2213554"/>
        <s v="1000020006486"/>
        <s v="1000018006486"/>
        <s v="1000017006486"/>
        <s v="1000234004622"/>
        <s v="1000233004622"/>
        <s v="1000235004622"/>
        <s v="1000720004599"/>
        <s v="1000725004599"/>
        <s v="1000025006449"/>
        <s v="1000026006449"/>
        <s v="1000163004983"/>
        <s v="1000201004548"/>
        <s v="1000233004607"/>
        <s v="1000333004537"/>
        <s v="1000220004565"/>
        <s v="1000206004815"/>
        <s v="2215352"/>
        <s v="2213644"/>
        <s v="2213642"/>
        <s v="1000403004598"/>
        <s v="1000233004588"/>
        <s v="1000294004566"/>
        <s v="1000121005739"/>
        <s v="1000605004567"/>
        <s v="1000608004567"/>
        <s v="1000604004567"/>
        <s v="1000433004642"/>
        <s v="1000432004642"/>
        <s v="1000431004642"/>
        <s v="1000688004936"/>
        <s v="1000154005600"/>
        <s v="1000296004931"/>
        <s v="1000158005570"/>
        <s v="1000444005226"/>
        <s v="1000443005226"/>
        <s v="1000283005275"/>
        <s v="1000284005275"/>
        <s v="1000285005275"/>
        <s v="1000182005286"/>
        <s v="1000395006262"/>
        <s v="1000396006262"/>
        <s v="1000397006262"/>
        <s v="1000398006262"/>
        <s v="1000399006262"/>
        <s v="1000400006262"/>
        <s v="1000394006262"/>
        <s v="1000032006485"/>
        <s v="1000031006485"/>
        <s v="1000033006485"/>
      </sharedItems>
    </cacheField>
    <cacheField name="Part Qty Ordered" numFmtId="1">
      <sharedItems containsSemiMixedTypes="0" containsString="0" containsNumber="1" containsInteger="1" minValue="1" maxValue="6"/>
    </cacheField>
    <cacheField name="Part #" numFmtId="0">
      <sharedItems/>
    </cacheField>
    <cacheField name="Part Description" numFmtId="0">
      <sharedItems/>
    </cacheField>
    <cacheField name="Part Qty Shipped" numFmtId="1">
      <sharedItems containsSemiMixedTypes="0" containsString="0" containsNumber="1" containsInteger="1" minValue="0" maxValue="6"/>
    </cacheField>
    <cacheField name="Part Ship Date" numFmtId="164">
      <sharedItems containsSemiMixedTypes="0" containsNonDate="0" containsDate="1" containsString="0" minDate="2023-05-25T00:00:00" maxDate="2026-10-12T00:00:00"/>
    </cacheField>
    <cacheField name="Estatus" numFmtId="0">
      <sharedItems count="5">
        <s v="SIN PROCESAR"/>
        <s v="SIN ENVIAR"/>
        <s v="ENTREGADO"/>
        <s v="ENTREGADO EN OCURRE"/>
        <s v="ENVIADO SIN  ENTREGAR"/>
      </sharedItems>
    </cacheField>
    <cacheField name="Pedido" numFmtId="0">
      <sharedItems containsBlank="1" containsMixedTypes="1" containsNumber="1" containsInteger="1" minValue="955308" maxValue="958196"/>
    </cacheField>
    <cacheField name="Pending days without delivery" numFmtId="0">
      <sharedItems containsSemiMixedTypes="0" containsString="0" containsNumber="1" containsInteger="1" minValue="0" maxValue="15"/>
    </cacheField>
    <cacheField name="Comentarios de Almace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BECERRIL MARTINEZ, EDUARDO TRINIDAD"/>
    <s v="ESTUDIO479S"/>
    <s v="70204032044P5"/>
    <x v="0"/>
    <d v="2026-09-21T00:00:00"/>
    <n v="21246052"/>
    <n v="20679544"/>
    <s v="S"/>
    <s v="EC"/>
    <s v="Wait for Parts"/>
    <x v="0"/>
    <n v="1"/>
    <s v="41X2880"/>
    <s v="CONTROL PANEL FOR MX632 AND XM3350"/>
    <n v="0"/>
    <d v="2026-10-05T00:00:00"/>
    <x v="0"/>
    <m/>
    <n v="15"/>
    <s v="ITEM 41X2880 ETA 12 OCT"/>
  </r>
  <r>
    <s v="MANZO VAZQUEZ, CESAR EDUARDO"/>
    <s v="ESTUDIO2822AM"/>
    <s v="CKAP32782"/>
    <x v="1"/>
    <d v="2026-09-23T00:00:00"/>
    <n v="21318688"/>
    <n v="20696425"/>
    <s v="P"/>
    <s v="PM"/>
    <s v="Wait for Parts"/>
    <x v="1"/>
    <n v="1"/>
    <s v="6LJ78116000"/>
    <s v="HR-2505-U (HEAT ROLLER ASSEMBLY UPPER)"/>
    <n v="0"/>
    <d v="2026-10-06T00:00:00"/>
    <x v="0"/>
    <m/>
    <n v="13"/>
    <s v="ITEM 6LJ78116000, 6LJ83358000 ETA 12 OCT"/>
  </r>
  <r>
    <s v="MANZO VAZQUEZ, CESAR EDUARDO"/>
    <s v="ESTUDIO2822AM"/>
    <s v="CKAP32782"/>
    <x v="1"/>
    <d v="2026-09-23T00:00:00"/>
    <n v="21318688"/>
    <n v="20696425"/>
    <s v="P"/>
    <s v="PM"/>
    <s v="Wait for Parts"/>
    <x v="1"/>
    <n v="1"/>
    <s v="6LJ83358000S"/>
    <s v="OD-2505"/>
    <n v="0"/>
    <d v="2026-10-06T00:00:00"/>
    <x v="0"/>
    <m/>
    <n v="13"/>
    <s v="ITEM 6LJ78116000, 6LJ83358000 ETA 12 OCT"/>
  </r>
  <r>
    <s v="MANZO VAZQUEZ, CESAR EDUARDO"/>
    <s v="ESTUDIO2822AM"/>
    <s v="CKAP32818"/>
    <x v="1"/>
    <d v="2026-09-23T00:00:00"/>
    <n v="21318704"/>
    <n v="20696424"/>
    <s v="P"/>
    <s v="PM"/>
    <s v="Wait for Parts"/>
    <x v="2"/>
    <n v="1"/>
    <s v="6LJ78088000S"/>
    <s v="HR-2809-L"/>
    <n v="0"/>
    <d v="2026-10-06T00:00:00"/>
    <x v="0"/>
    <m/>
    <n v="13"/>
    <s v="ITEM 6LJ78116000, 6LJ83358000 ETA 12 OCT"/>
  </r>
  <r>
    <s v="MANZO VAZQUEZ, CESAR EDUARDO"/>
    <s v="ESTUDIO2822AM"/>
    <s v="CKAP32818"/>
    <x v="1"/>
    <d v="2026-09-23T00:00:00"/>
    <n v="21318704"/>
    <n v="20696424"/>
    <s v="P"/>
    <s v="PM"/>
    <s v="Wait for Parts"/>
    <x v="2"/>
    <n v="1"/>
    <s v="6LJ78116000"/>
    <s v="HR-2505-U (HEAT ROLLER ASSEMBLY UPPER)"/>
    <n v="0"/>
    <d v="2026-10-06T00:00:00"/>
    <x v="0"/>
    <m/>
    <n v="13"/>
    <s v="ITEM 6LJ78116000, 6LJ83358000 ETA 12 OCT"/>
  </r>
  <r>
    <s v="MANZO VAZQUEZ, CESAR EDUARDO"/>
    <s v="ESTUDIO2822AM"/>
    <s v="CKAP32818"/>
    <x v="1"/>
    <d v="2026-09-23T00:00:00"/>
    <n v="21318704"/>
    <n v="20696424"/>
    <s v="P"/>
    <s v="PM"/>
    <s v="Wait for Parts"/>
    <x v="2"/>
    <n v="1"/>
    <s v="6LJ83358000S"/>
    <s v="OD-2505"/>
    <n v="0"/>
    <d v="2026-10-06T00:00:00"/>
    <x v="0"/>
    <m/>
    <n v="13"/>
    <s v="ITEM 6LJ78116000, 6LJ83358000 ETA 12 OCT"/>
  </r>
  <r>
    <s v="DAVALOS GARCIA, HECTOR ALBERTO"/>
    <s v="ESTUDIO2822AM"/>
    <s v="CKAP32792"/>
    <x v="1"/>
    <d v="2026-09-24T00:00:00"/>
    <n v="21321304"/>
    <n v="20698907"/>
    <s v="P"/>
    <s v="PM"/>
    <s v="Wait for Parts"/>
    <x v="3"/>
    <n v="1"/>
    <s v="6LJ83358000"/>
    <s v="OD-2505 DRUM"/>
    <n v="0"/>
    <d v="2026-10-09T00:00:00"/>
    <x v="0"/>
    <m/>
    <n v="12"/>
    <s v="ITEM  6LJ83358000 ETA 12 OCT"/>
  </r>
  <r>
    <s v="MANZO VAZQUEZ, CESAR EDUARDO"/>
    <s v="ESTUDIO7516AC"/>
    <s v="C1BN40652"/>
    <x v="2"/>
    <d v="2026-09-30T00:00:00"/>
    <n v="21369724"/>
    <n v="20740572"/>
    <s v="O"/>
    <s v="WF"/>
    <s v="Wait for Parts"/>
    <x v="4"/>
    <n v="1"/>
    <s v="6LK41162000"/>
    <s v="BL-FC556-TBU (BLADE)"/>
    <n v="0"/>
    <d v="2026-10-09T00:00:00"/>
    <x v="0"/>
    <m/>
    <n v="8"/>
    <s v="ITEM 6LK41162000 ETA 12 OCT"/>
  </r>
  <r>
    <s v="MANZO VAZQUEZ, CESAR EDUARDO"/>
    <s v="ESTUDIO7516AC"/>
    <s v="C1BN40652"/>
    <x v="2"/>
    <d v="2026-09-30T00:00:00"/>
    <n v="21369724"/>
    <n v="20740572"/>
    <s v="O"/>
    <s v="WF"/>
    <s v="Wait for Parts"/>
    <x v="4"/>
    <n v="1"/>
    <s v="6LK53971000"/>
    <s v="LEVER-RETARD (LEVER)"/>
    <n v="0"/>
    <d v="2026-10-09T00:00:00"/>
    <x v="0"/>
    <m/>
    <n v="8"/>
    <s v="ITEM 6LK41162000 ETA 12 OCT"/>
  </r>
  <r>
    <s v="MANZO VAZQUEZ, CESAR EDUARDO"/>
    <s v="ESTUDIO7516AC"/>
    <s v="C1BN40652"/>
    <x v="2"/>
    <d v="2026-09-30T00:00:00"/>
    <n v="21369724"/>
    <n v="20740572"/>
    <s v="O"/>
    <s v="WF"/>
    <s v="Wait for Parts"/>
    <x v="4"/>
    <n v="1"/>
    <s v="6LK54189000"/>
    <s v="ASYS-ROL-RETARD (ROLLER ASSEMBLY)"/>
    <n v="0"/>
    <d v="2026-10-09T00:00:00"/>
    <x v="0"/>
    <m/>
    <n v="8"/>
    <s v="ITEM 6LK41162000 ETA 12 OCT"/>
  </r>
  <r>
    <s v="MANZO VAZQUEZ, CESAR EDUARDO"/>
    <s v="ESTUDIO7516AC"/>
    <s v="C1BN40652"/>
    <x v="2"/>
    <d v="2026-09-30T00:00:00"/>
    <n v="21369724"/>
    <n v="20740572"/>
    <s v="O"/>
    <s v="WF"/>
    <s v="Wait for Parts"/>
    <x v="4"/>
    <n v="4"/>
    <s v="4401949290"/>
    <s v="SEAL-VC6-10-2.5"/>
    <n v="0"/>
    <d v="2026-10-09T00:00:00"/>
    <x v="0"/>
    <m/>
    <n v="8"/>
    <s v="ITEM 6LK41162000 ETA 12 OCT"/>
  </r>
  <r>
    <s v="RODRIGUEZ FUENTES, LUIS"/>
    <s v="ESTUDIO409S"/>
    <s v="7019232109FV3"/>
    <x v="3"/>
    <d v="2026-10-02T00:00:00"/>
    <n v="21400890"/>
    <n v="20759882"/>
    <s v="O"/>
    <s v="EC"/>
    <s v="Wait for Parts"/>
    <x v="5"/>
    <n v="1"/>
    <s v="41X2510S"/>
    <s v="ADF cover"/>
    <n v="1"/>
    <d v="2026-10-09T00:00:00"/>
    <x v="1"/>
    <n v="958156"/>
    <n v="6"/>
    <s v="GUIA 1659251731 SE ENVIA HOY 09 OCT"/>
  </r>
  <r>
    <s v="RIVERA CRUZ, OMAR ALEJANDRO"/>
    <s v="ESTUDIO409S"/>
    <s v="701930810FXP7"/>
    <x v="4"/>
    <d v="2026-10-06T00:00:00"/>
    <n v="21420708"/>
    <n v="20784677"/>
    <s v="O"/>
    <s v="EC"/>
    <s v="Wait for Parts"/>
    <x v="6"/>
    <n v="1"/>
    <s v="1170-7314"/>
    <s v="STRETCH'n DUST CLEANING WIPES"/>
    <n v="1"/>
    <d v="2026-10-09T00:00:00"/>
    <x v="1"/>
    <n v="958189"/>
    <n v="4"/>
    <s v="GUIA 5802104501 SE ENVIA HOY 09 OCT"/>
  </r>
  <r>
    <s v="RIVERA CRUZ, OMAR ALEJANDRO"/>
    <s v="ESTUDIO409S"/>
    <s v="701930810FXP7"/>
    <x v="4"/>
    <d v="2026-10-06T00:00:00"/>
    <n v="21420708"/>
    <n v="20784677"/>
    <s v="O"/>
    <s v="EC"/>
    <s v="Wait for Parts"/>
    <x v="6"/>
    <n v="1"/>
    <s v="41X2980S"/>
    <s v="Scanner with fax card (MB3442, MX431, XM1342)"/>
    <n v="1"/>
    <d v="2026-10-09T00:00:00"/>
    <x v="1"/>
    <n v="958189"/>
    <n v="4"/>
    <s v="GUIA 5802104501 SE ENVIA HOY 09 OCT"/>
  </r>
  <r>
    <s v="DAVALOS GARCIA, HECTOR ALBERTO"/>
    <s v="ESTUDIO7527ACT"/>
    <s v="C6KN12918"/>
    <x v="2"/>
    <d v="2026-10-06T00:00:00"/>
    <n v="21419556"/>
    <n v="20780814"/>
    <s v="O"/>
    <s v="CQ"/>
    <s v="Wait for Parts"/>
    <x v="7"/>
    <n v="1"/>
    <s v="6LH05188100"/>
    <s v="ARM-TRAY-SFB-F_B (ARM)"/>
    <n v="0"/>
    <d v="2026-10-08T00:00:00"/>
    <x v="0"/>
    <m/>
    <n v="4"/>
    <s v="CANIBALIZANDO"/>
  </r>
  <r>
    <s v="DAVALOS GARCIA, HECTOR ALBERTO"/>
    <s v="ESTUDIO7527ACT"/>
    <s v="C6KN12918"/>
    <x v="2"/>
    <d v="2026-10-06T00:00:00"/>
    <n v="21419556"/>
    <n v="20780814"/>
    <s v="O"/>
    <s v="CQ"/>
    <s v="Wait for Parts"/>
    <x v="7"/>
    <n v="1"/>
    <s v="6LK42668000"/>
    <s v="ASY-FUSER-BELT-FC556 (FUSER BELT)"/>
    <n v="0"/>
    <d v="2026-10-08T00:00:00"/>
    <x v="0"/>
    <m/>
    <n v="4"/>
    <s v="CANIBALIZANDO"/>
  </r>
  <r>
    <s v="DAVALOS GARCIA, HECTOR ALBERTO"/>
    <s v="ESTUDIO7527ACT"/>
    <s v="C6KN12918"/>
    <x v="2"/>
    <d v="2026-10-06T00:00:00"/>
    <n v="21419556"/>
    <n v="20780814"/>
    <s v="O"/>
    <s v="CQ"/>
    <s v="Wait for Parts"/>
    <x v="7"/>
    <n v="3"/>
    <s v="6LA29006700"/>
    <s v="LEVER-GUIDE-S_GG (LEVER)"/>
    <n v="0"/>
    <d v="2026-10-08T00:00:00"/>
    <x v="0"/>
    <m/>
    <n v="4"/>
    <s v="CANIBALIZANDO"/>
  </r>
  <r>
    <s v="DAVALOS GARCIA, HECTOR ALBERTO"/>
    <s v="ESTUDIO7527ACT"/>
    <s v="C6KN12918"/>
    <x v="2"/>
    <d v="2026-10-06T00:00:00"/>
    <n v="21419556"/>
    <n v="20780814"/>
    <s v="O"/>
    <s v="CQ"/>
    <s v="Wait for Parts"/>
    <x v="7"/>
    <n v="3"/>
    <s v="6LA29007000"/>
    <s v="SPG-GUIDE-F"/>
    <n v="0"/>
    <d v="2026-10-08T00:00:00"/>
    <x v="0"/>
    <m/>
    <n v="4"/>
    <s v="CANIBALIZANDO"/>
  </r>
  <r>
    <s v="DAVALOS GARCIA, HECTOR ALBERTO"/>
    <s v="ESTUDIO7527ACT"/>
    <s v="C6KN12918"/>
    <x v="2"/>
    <d v="2026-10-06T00:00:00"/>
    <n v="21419556"/>
    <n v="20780814"/>
    <s v="O"/>
    <s v="CQ"/>
    <s v="Wait for Parts"/>
    <x v="7"/>
    <n v="3"/>
    <s v="6LH05172200"/>
    <s v="GUIDE-TRAY-FRT-H38X (GUIDE)"/>
    <n v="0"/>
    <d v="2026-10-08T00:00:00"/>
    <x v="0"/>
    <m/>
    <n v="4"/>
    <s v="CANIBALIZANDO"/>
  </r>
  <r>
    <s v="DAVALOS GARCIA, HECTOR ALBERTO"/>
    <s v="ESTUDIO7527ACT"/>
    <s v="C6KN12918"/>
    <x v="2"/>
    <d v="2026-10-06T00:00:00"/>
    <n v="21419556"/>
    <n v="20780814"/>
    <s v="O"/>
    <s v="CQ"/>
    <s v="Wait for Parts"/>
    <x v="7"/>
    <n v="3"/>
    <s v="6LK41735000"/>
    <s v="BRUSH-SIDE-WALL-F-N (BRUSH)"/>
    <n v="0"/>
    <d v="2026-10-08T00:00:00"/>
    <x v="0"/>
    <m/>
    <n v="4"/>
    <s v="CANIBALIZANDO"/>
  </r>
  <r>
    <s v="DAVALOS GARCIA, HECTOR ALBERTO"/>
    <s v="ESTUDIO7527ACT"/>
    <s v="C6KN12918"/>
    <x v="2"/>
    <d v="2026-10-06T00:00:00"/>
    <n v="21419556"/>
    <n v="20780814"/>
    <s v="O"/>
    <s v="CQ"/>
    <s v="Wait for Parts"/>
    <x v="7"/>
    <n v="3"/>
    <s v="6LK76116100"/>
    <s v="LEVER-CHARGR-MAIN-GN (LEVER)"/>
    <n v="0"/>
    <d v="2026-10-08T00:00:00"/>
    <x v="0"/>
    <m/>
    <n v="4"/>
    <s v="CANIBALIZANDO"/>
  </r>
  <r>
    <s v="GARCIA ROBLEDO, RIGOBERTO"/>
    <s v="ESTUDIO7527ACT"/>
    <s v="C6KN12934"/>
    <x v="2"/>
    <d v="2026-10-07T00:00:00"/>
    <n v="21437388"/>
    <n v="20791907"/>
    <s v="O"/>
    <s v="CQ"/>
    <s v="Wait for Parts"/>
    <x v="8"/>
    <n v="4"/>
    <s v="6LA04042000"/>
    <s v="ASYS-ROL-SPT"/>
    <n v="4"/>
    <d v="2026-10-09T00:00:00"/>
    <x v="1"/>
    <n v="958170"/>
    <n v="3"/>
    <s v="GUIA 1659275122 SE ENVIA HOY 09 OCT"/>
  </r>
  <r>
    <s v="RAMIREZ LOPEZ, SAUL"/>
    <s v="ESTUDIO479S"/>
    <s v="70204032045NN"/>
    <x v="5"/>
    <d v="2026-10-07T00:00:00"/>
    <n v="21343120"/>
    <n v="20792284"/>
    <s v="A"/>
    <s v="NP"/>
    <s v="Down for Parts"/>
    <x v="9"/>
    <n v="1"/>
    <s v="41X6161"/>
    <s v="CONTROLLER BOARD"/>
    <n v="0"/>
    <d v="2023-12-20T00:00:00"/>
    <x v="0"/>
    <m/>
    <n v="3"/>
    <m/>
  </r>
  <r>
    <s v="RIVERA CONTRERAS, JESUS"/>
    <s v="ESTUDIO9029A"/>
    <s v="C8JN12039"/>
    <x v="6"/>
    <d v="2026-10-07T00:00:00"/>
    <n v="21435084"/>
    <n v="20792353"/>
    <s v="C"/>
    <s v="CE"/>
    <s v="Wait for Parts"/>
    <x v="10"/>
    <n v="1"/>
    <s v="6LH03981000"/>
    <s v="BELT-TBU-G-F43X"/>
    <n v="1"/>
    <d v="2026-10-08T00:00:00"/>
    <x v="1"/>
    <s v="958083-958086"/>
    <n v="3"/>
    <s v="958083 GESTIONA PARTES CONSOLIDADOS EN OFICINAS MTY RECIBIDO POR SANDRA ESTRADA-958086 GESTIONA MTY TECNICO PASA A RECOGER"/>
  </r>
  <r>
    <s v="RIVERA CONTRERAS, JESUS"/>
    <s v="ESTUDIO9029A"/>
    <s v="C8JN12039"/>
    <x v="6"/>
    <d v="2026-10-07T00:00:00"/>
    <n v="21435084"/>
    <n v="20792353"/>
    <s v="C"/>
    <s v="CE"/>
    <s v="Wait for Parts"/>
    <x v="10"/>
    <n v="1"/>
    <s v="6LK44136000"/>
    <s v="KIT-BELT-HLDUNIT-FC556 (BELT HOLDER UNIT KIT)"/>
    <n v="0"/>
    <d v="2026-10-08T00:00:00"/>
    <x v="1"/>
    <s v="958083-958086"/>
    <n v="3"/>
    <s v="958083 GESTIONA PARTES CONSOLIDADOS EN OFICINAS MTY RECIBIDO POR SANDRA ESTRADA-958086 GESTIONA MTY TECNICO PASA A RECOGER"/>
  </r>
  <r>
    <s v="RIVERA CONTRERAS, JESUS"/>
    <s v="ESTUDIO9029A"/>
    <s v="C8JN12039"/>
    <x v="6"/>
    <d v="2026-10-07T00:00:00"/>
    <n v="21435084"/>
    <n v="20792353"/>
    <s v="C"/>
    <s v="CE"/>
    <s v="Wait for Parts"/>
    <x v="10"/>
    <n v="1"/>
    <s v="6LK44136000"/>
    <s v="KIT-BELT-HLDUNIT-FC556 (BELT HOLDER UNIT KIT)"/>
    <n v="1"/>
    <d v="2026-10-08T00:00:00"/>
    <x v="1"/>
    <s v="958083-958086"/>
    <n v="3"/>
    <s v="958083 GESTIONA PARTES CONSOLIDADOS EN OFICINAS MTY RECIBIDO POR SANDRA ESTRADA-958086 GESTIONA MTY TECNICO PASA A RECOGER"/>
  </r>
  <r>
    <s v="RIVERA CONTRERAS, JESUS"/>
    <s v="ESTUDIO9029A"/>
    <s v="C8JN12039"/>
    <x v="6"/>
    <d v="2026-10-07T00:00:00"/>
    <n v="21435084"/>
    <n v="20792353"/>
    <s v="C"/>
    <s v="CE"/>
    <s v="Wait for Parts"/>
    <x v="10"/>
    <n v="2"/>
    <s v="6LH04711100"/>
    <s v="ACT-SW-EMPTY-430_S (ACTUATOR)"/>
    <n v="2"/>
    <d v="2026-10-08T00:00:00"/>
    <x v="1"/>
    <s v="958083-958086"/>
    <n v="3"/>
    <s v="958083 GESTIONA PARTES CONSOLIDADOS EN OFICINAS MTY RECIBIDO POR SANDRA ESTRADA-958086 GESTIONA MTY TECNICO PASA A RECOGER"/>
  </r>
  <r>
    <s v="RIVERA CONTRERAS, JESUS"/>
    <s v="ESTUDIO9029A"/>
    <s v="C8JN12039"/>
    <x v="6"/>
    <d v="2026-10-07T00:00:00"/>
    <n v="21435084"/>
    <n v="20792353"/>
    <s v="C"/>
    <s v="CE"/>
    <s v="Wait for Parts"/>
    <x v="10"/>
    <n v="2"/>
    <s v="6LK40607000"/>
    <s v="OD-FC556"/>
    <n v="0"/>
    <d v="2026-10-08T00:00:00"/>
    <x v="1"/>
    <s v="958083-958086"/>
    <n v="3"/>
    <s v="958083 GESTIONA PARTES CONSOLIDADOS EN OFICINAS MTY RECIBIDO POR SANDRA ESTRADA-958086 GESTIONA MTY TECNICO PASA A RECOGER"/>
  </r>
  <r>
    <s v="RIVERA CONTRERAS, JESUS"/>
    <s v="ESTUDIO9029A"/>
    <s v="C8JN12039"/>
    <x v="6"/>
    <d v="2026-10-07T00:00:00"/>
    <n v="21435084"/>
    <n v="20792353"/>
    <s v="C"/>
    <s v="CE"/>
    <s v="Wait for Parts"/>
    <x v="10"/>
    <n v="2"/>
    <s v="6LK40619000"/>
    <s v="EPU-KIT-FC556-S (PM KIT - E8508A)"/>
    <n v="2"/>
    <d v="2026-10-08T00:00:00"/>
    <x v="1"/>
    <s v="958083-958086"/>
    <n v="3"/>
    <s v="958083 GESTIONA PARTES CONSOLIDADOS EN OFICINAS MTY RECIBIDO POR SANDRA ESTRADA-958086 GESTIONA MTY TECNICO PASA A RECOGER"/>
  </r>
  <r>
    <s v="RIVERA CONTRERAS, JESUS"/>
    <s v="ESTUDIO9029A"/>
    <s v="C8JN12039"/>
    <x v="6"/>
    <d v="2026-10-07T00:00:00"/>
    <n v="21435084"/>
    <n v="20792353"/>
    <s v="C"/>
    <s v="CE"/>
    <s v="Wait for Parts"/>
    <x v="10"/>
    <n v="2"/>
    <s v="6LK42668000"/>
    <s v="ASY-FUSER-BELT-FC556 (FUSER BELT)"/>
    <n v="2"/>
    <d v="2026-10-08T00:00:00"/>
    <x v="1"/>
    <s v="958083-958086"/>
    <n v="3"/>
    <s v="958083 GESTIONA PARTES CONSOLIDADOS EN OFICINAS MTY RECIBIDO POR SANDRA ESTRADA-958086 GESTIONA MTY TECNICO PASA A RECOGER"/>
  </r>
  <r>
    <s v="RIVERA CONTRERAS, JESUS"/>
    <s v="ESTUDIO9029A"/>
    <s v="C8JN12039"/>
    <x v="6"/>
    <d v="2026-10-07T00:00:00"/>
    <n v="21435084"/>
    <n v="20792353"/>
    <s v="C"/>
    <s v="CE"/>
    <s v="Wait for Parts"/>
    <x v="10"/>
    <n v="2"/>
    <s v="6LK43647000"/>
    <s v="PR-FC556-FU (PRESS ROLLER (BL-FC556-TBU))"/>
    <n v="2"/>
    <d v="2026-10-08T00:00:00"/>
    <x v="1"/>
    <s v="958083-958086"/>
    <n v="3"/>
    <s v="958083 GESTIONA PARTES CONSOLIDADOS EN OFICINAS MTY RECIBIDO POR SANDRA ESTRADA-958086 GESTIONA MTY TECNICO PASA A RECOGER"/>
  </r>
  <r>
    <s v="RIVERA CONTRERAS, JESUS"/>
    <s v="ESTUDIO9029A"/>
    <s v="C8JN12039"/>
    <x v="6"/>
    <d v="2026-10-07T00:00:00"/>
    <n v="21435084"/>
    <n v="20792353"/>
    <s v="C"/>
    <s v="CE"/>
    <s v="Wait for Parts"/>
    <x v="10"/>
    <n v="4"/>
    <s v="4401949290"/>
    <s v="SEAL-VC6-10-2.5"/>
    <n v="4"/>
    <d v="2026-10-08T00:00:00"/>
    <x v="1"/>
    <s v="958083-958086"/>
    <n v="3"/>
    <s v="958083 GESTIONA PARTES CONSOLIDADOS EN OFICINAS MTY RECIBIDO POR SANDRA ESTRADA-958086 GESTIONA MTY TECNICO PASA A RECOGER"/>
  </r>
  <r>
    <s v="RIVERA CONTRERAS, JESUS"/>
    <s v="ESTUDIO9029A"/>
    <s v="C8JN12039"/>
    <x v="6"/>
    <d v="2026-10-07T00:00:00"/>
    <n v="21435084"/>
    <n v="20792353"/>
    <s v="C"/>
    <s v="CE"/>
    <s v="Wait for Parts"/>
    <x v="10"/>
    <n v="4"/>
    <s v="F0-01959000"/>
    <s v="BEARING BALL * L1260 2RS-SH44M-GV22 MOGBR 12mm"/>
    <n v="4"/>
    <d v="2026-10-08T00:00:00"/>
    <x v="1"/>
    <s v="958083-958086"/>
    <n v="3"/>
    <s v="958083 GESTIONA PARTES CONSOLIDADOS EN OFICINAS MTY RECIBIDO POR SANDRA ESTRADA-958086 GESTIONA MTY TECNICO PASA A RECOGER"/>
  </r>
  <r>
    <s v="RIVERA CONTRERAS, JESUS"/>
    <s v="ESTUDIO9029A"/>
    <s v="C8JN12039"/>
    <x v="6"/>
    <d v="2026-10-07T00:00:00"/>
    <n v="21435084"/>
    <n v="20792353"/>
    <s v="C"/>
    <s v="CE"/>
    <s v="Wait for Parts"/>
    <x v="10"/>
    <n v="6"/>
    <s v="6LK41562000"/>
    <s v="ROL-KIT-FC75-U (PM KIT)*"/>
    <n v="6"/>
    <d v="2026-10-08T00:00:00"/>
    <x v="1"/>
    <s v="958083-958086"/>
    <n v="3"/>
    <s v="958083 GESTIONA PARTES CONSOLIDADOS EN OFICINAS MTY RECIBIDO POR SANDRA ESTRADA-958086 GESTIONA MTY TECNICO PASA A RECOGER"/>
  </r>
  <r>
    <s v="ANDRADE PELAYO, ROSMAN JAVIER"/>
    <s v="ESTUDIO330ACU"/>
    <s v="CRKM43284"/>
    <x v="7"/>
    <d v="2026-10-07T00:00:00"/>
    <n v="21441074"/>
    <n v="20792267"/>
    <s v="P"/>
    <s v="PM"/>
    <s v="Wait for Parts"/>
    <x v="11"/>
    <n v="1"/>
    <s v="E0-14613000S"/>
    <s v="PS-12C02-F NS"/>
    <n v="1"/>
    <d v="2026-10-09T00:00:00"/>
    <x v="1"/>
    <n v="958152"/>
    <n v="3"/>
    <s v="GUIA 1659248463 SE ENVIA HOY 09 OCT "/>
  </r>
  <r>
    <s v="CALLEJAS LAZARO, DAVID"/>
    <s v="ESTUDIO9029A"/>
    <s v="C8IP14252"/>
    <x v="8"/>
    <d v="2026-10-07T00:00:00"/>
    <n v="21439912"/>
    <n v="20792444"/>
    <s v="O"/>
    <s v="PJ"/>
    <s v="Wait for Parts"/>
    <x v="12"/>
    <n v="1"/>
    <s v="6LK46174000S"/>
    <s v="MOTR_S-SCN-37X-N"/>
    <n v="1"/>
    <d v="2026-10-09T00:00:00"/>
    <x v="1"/>
    <n v="958155"/>
    <n v="3"/>
    <s v="GUIA 1659250666 SE ENVIA HOY 09 OCT"/>
  </r>
  <r>
    <s v="CALLEJAS LAZARO, DAVID"/>
    <s v="ESTUDIO9029A"/>
    <s v="C8IP14252"/>
    <x v="8"/>
    <d v="2026-10-07T00:00:00"/>
    <n v="21439912"/>
    <n v="20792444"/>
    <s v="O"/>
    <s v="PJ"/>
    <s v="Wait for Parts"/>
    <x v="12"/>
    <n v="1"/>
    <s v="6LL40974000"/>
    <s v="THMS-HTR-K180 (THERMISTOR)"/>
    <n v="1"/>
    <d v="2026-10-09T00:00:00"/>
    <x v="1"/>
    <n v="958155"/>
    <n v="3"/>
    <s v="GUIA 1659250666 SE ENVIA HOY 09 OCT"/>
  </r>
  <r>
    <s v="SANCHEZ MONTANO, MARCOS UBALDO"/>
    <s v="ESTUDIO2010ACU"/>
    <s v="CNGK16788"/>
    <x v="9"/>
    <d v="2026-10-07T00:00:00"/>
    <n v="21295478"/>
    <n v="20792339"/>
    <s v="O"/>
    <s v="EC"/>
    <s v="Wait for Parts"/>
    <x v="13"/>
    <n v="1"/>
    <s v="G0-00728000S"/>
    <s v="MQ01ABF032 (HARD DISK DRIVE 320GB TSB)"/>
    <n v="0"/>
    <d v="2026-10-09T00:00:00"/>
    <x v="0"/>
    <m/>
    <n v="3"/>
    <s v="CANIBALIZANDO"/>
  </r>
  <r>
    <s v="DE LA TORRE PECINA, JESUS OMAR"/>
    <s v="ESTUDIO7527AC"/>
    <s v="S6AQ84806"/>
    <x v="2"/>
    <d v="2026-10-07T00:00:00"/>
    <n v="21441182"/>
    <n v="20792300"/>
    <s v="O"/>
    <s v="PJ"/>
    <s v="Wait for Parts"/>
    <x v="14"/>
    <n v="1"/>
    <s v="6LH02725000"/>
    <s v="GRID-CHARGR-MAIN-430"/>
    <n v="0"/>
    <d v="2026-10-05T00:00:00"/>
    <x v="0"/>
    <m/>
    <n v="3"/>
    <s v="ITEM 6LK40607000 SE SOLICITA DE CAJUELA"/>
  </r>
  <r>
    <s v="DE LA TORRE PECINA, JESUS OMAR"/>
    <s v="ESTUDIO7527AC"/>
    <s v="S6AQ84806"/>
    <x v="2"/>
    <d v="2026-10-07T00:00:00"/>
    <n v="21441182"/>
    <n v="20792300"/>
    <s v="O"/>
    <s v="PJ"/>
    <s v="Wait for Parts"/>
    <x v="14"/>
    <n v="1"/>
    <s v="6LK43607300"/>
    <s v="D-FC556-K (DEVELOPER CARTRIDGE)"/>
    <n v="0"/>
    <d v="2026-10-05T00:00:00"/>
    <x v="0"/>
    <m/>
    <n v="3"/>
    <s v="ITEM 6LK40607000 SE SOLICITA DE CAJUELA"/>
  </r>
  <r>
    <s v="DE LA TORRE PECINA, JESUS OMAR"/>
    <s v="ESTUDIO7527AC"/>
    <s v="S6AQ84806"/>
    <x v="2"/>
    <d v="2026-10-07T00:00:00"/>
    <n v="21441182"/>
    <n v="20792300"/>
    <s v="O"/>
    <s v="PJ"/>
    <s v="Wait for Parts"/>
    <x v="14"/>
    <n v="1"/>
    <s v="6LK43647000"/>
    <s v="PR-FC556-FU (PRESS ROLLER (BL-FC556-TBU))"/>
    <n v="0"/>
    <d v="2026-10-05T00:00:00"/>
    <x v="0"/>
    <m/>
    <n v="3"/>
    <s v="ITEM 6LK40607000 SE SOLICITA DE CAJUELA"/>
  </r>
  <r>
    <s v="DE LA TORRE PECINA, JESUS OMAR"/>
    <s v="ESTUDIO7527AC"/>
    <s v="S6AQ84806"/>
    <x v="2"/>
    <d v="2026-10-07T00:00:00"/>
    <n v="21441182"/>
    <n v="20792300"/>
    <s v="O"/>
    <s v="PJ"/>
    <s v="Wait for Parts"/>
    <x v="14"/>
    <n v="3"/>
    <s v="6LJ06722000"/>
    <s v="GRID-CHARGR-MAIN-G (GRID)"/>
    <n v="0"/>
    <d v="2026-10-05T00:00:00"/>
    <x v="0"/>
    <m/>
    <n v="3"/>
    <s v="ITEM 6LK40607000 SE SOLICITA DE CAJUELA"/>
  </r>
  <r>
    <s v="DE LA TORRE PECINA, JESUS OMAR"/>
    <s v="ESTUDIO7527AC"/>
    <s v="S6AQ84806"/>
    <x v="2"/>
    <d v="2026-10-07T00:00:00"/>
    <n v="21441182"/>
    <n v="20792300"/>
    <s v="O"/>
    <s v="PJ"/>
    <s v="Wait for Parts"/>
    <x v="14"/>
    <n v="3"/>
    <s v="6LK40607000"/>
    <s v="OD-FC556"/>
    <n v="0"/>
    <d v="2026-10-05T00:00:00"/>
    <x v="0"/>
    <m/>
    <n v="3"/>
    <s v="ITEM 6LK40607000 SE SOLICITA DE CAJUELA"/>
  </r>
  <r>
    <s v="ANGULO FRIAS, JORGE SAUL"/>
    <s v="ESTUDIO4515AC"/>
    <s v="CNJK59471"/>
    <x v="10"/>
    <d v="2026-10-08T00:00:00"/>
    <n v="21400570"/>
    <n v="20799812"/>
    <s v="A"/>
    <s v="EC"/>
    <s v="Wait for Parts"/>
    <x v="15"/>
    <n v="1"/>
    <s v="6LJ57393100S"/>
    <s v="LEVER-ADU-H370"/>
    <n v="0"/>
    <d v="2026-10-09T00:00:00"/>
    <x v="0"/>
    <m/>
    <n v="2"/>
    <s v="CANIBALIZANDO"/>
  </r>
  <r>
    <s v="ANGULO FRIAS, JORGE SAUL"/>
    <s v="ESTUDIO4515AC"/>
    <s v="CNJK59471"/>
    <x v="10"/>
    <d v="2026-10-08T00:00:00"/>
    <n v="21400570"/>
    <n v="20799812"/>
    <s v="A"/>
    <s v="EC"/>
    <s v="Wait for Parts"/>
    <x v="15"/>
    <n v="1"/>
    <s v="6LK52838100S"/>
    <s v="LSU-UNIT-K114"/>
    <n v="0"/>
    <d v="2026-10-09T00:00:00"/>
    <x v="0"/>
    <m/>
    <n v="2"/>
    <s v="CANIBALIZANDO"/>
  </r>
  <r>
    <s v="ANGULO FRIAS, JORGE SAUL"/>
    <s v="ESTUDIO4515AC"/>
    <s v="CNJK59471"/>
    <x v="10"/>
    <d v="2026-10-08T00:00:00"/>
    <n v="21400570"/>
    <n v="20799812"/>
    <s v="A"/>
    <s v="EC"/>
    <s v="Wait for Parts"/>
    <x v="15"/>
    <n v="3"/>
    <s v="RECIBOS"/>
    <s v="BLOCK DE SERVICIO"/>
    <n v="0"/>
    <d v="2026-10-09T00:00:00"/>
    <x v="0"/>
    <m/>
    <n v="2"/>
    <s v="CANIBALIZANDO"/>
  </r>
  <r>
    <s v="ARANDA GONZALEZ, SAMUEL"/>
    <s v="ESTUDIO9029A"/>
    <s v="C8KN12095"/>
    <x v="11"/>
    <d v="2026-10-08T00:00:00"/>
    <n v="21446286"/>
    <n v="20796179"/>
    <s v="O"/>
    <s v="PM"/>
    <s v="Down for Parts"/>
    <x v="16"/>
    <n v="2"/>
    <s v="6LK40607000"/>
    <s v="OD-FC556"/>
    <n v="0"/>
    <d v="2026-10-05T00:00:00"/>
    <x v="0"/>
    <m/>
    <n v="2"/>
    <s v="ITEM  6LK40607000 COMPRA 13 OCT (PROBABLE ETA 19 OCT)"/>
  </r>
  <r>
    <s v="ARANDA GONZALEZ, SAMUEL"/>
    <s v="ESTUDIO9029A"/>
    <s v="C8KN12095"/>
    <x v="11"/>
    <d v="2026-10-08T00:00:00"/>
    <n v="21446286"/>
    <n v="20796179"/>
    <s v="O"/>
    <s v="PM"/>
    <s v="Down for Parts"/>
    <x v="16"/>
    <n v="2"/>
    <s v="6LK40619000"/>
    <s v="EPU-KIT-FC556-S (PM KIT - E8508A)"/>
    <n v="0"/>
    <d v="2026-10-05T00:00:00"/>
    <x v="0"/>
    <m/>
    <n v="2"/>
    <s v="ITEM  6LK40607000 COMPRA 13 OCT (PROBABLE ETA 19 OCT)"/>
  </r>
  <r>
    <s v="ARANDA GONZALEZ, SAMUEL"/>
    <s v="ESTUDIO9029A"/>
    <s v="C8KN12095"/>
    <x v="11"/>
    <d v="2026-10-08T00:00:00"/>
    <n v="21446286"/>
    <n v="20796179"/>
    <s v="O"/>
    <s v="PM"/>
    <s v="Down for Parts"/>
    <x v="16"/>
    <n v="2"/>
    <s v="6LK41165000"/>
    <s v="TBU-KIT-FC556 (PM KIT)"/>
    <n v="0"/>
    <d v="2026-10-05T00:00:00"/>
    <x v="0"/>
    <m/>
    <n v="2"/>
    <s v="ITEM  6LK40607000 COMPRA 13 OCT (PROBABLE ETA 19 OCT)"/>
  </r>
  <r>
    <s v="BECERRIL MARTINEZ, EDUARDO TRINIDAD"/>
    <s v="ESTUDIO7527AC"/>
    <s v="S6JP83710"/>
    <x v="2"/>
    <d v="2026-10-08T00:00:00"/>
    <n v="21448312"/>
    <n v="20798150"/>
    <s v="A"/>
    <s v="EC"/>
    <s v="Wait for Parts"/>
    <x v="17"/>
    <n v="1"/>
    <s v="6LK42409000S"/>
    <s v="GEAR-10H21-IDL-PR-H38X * (GEAR)"/>
    <n v="0"/>
    <d v="2026-10-05T00:00:00"/>
    <x v="0"/>
    <m/>
    <n v="2"/>
    <s v="CANIBALIZANDO"/>
  </r>
  <r>
    <s v="BECERRIL MARTINEZ, EDUARDO TRINIDAD"/>
    <s v="ESTUDIO7527AC"/>
    <s v="S6JP83710"/>
    <x v="2"/>
    <d v="2026-10-08T00:00:00"/>
    <n v="21448312"/>
    <n v="20798150"/>
    <s v="A"/>
    <s v="EC"/>
    <s v="Wait for Parts"/>
    <x v="17"/>
    <n v="1"/>
    <s v="6LK42501000"/>
    <s v="GEAR-10H23-8H40-8-H38X (GEAR)"/>
    <n v="0"/>
    <d v="2026-10-05T00:00:00"/>
    <x v="0"/>
    <m/>
    <n v="2"/>
    <s v="CANIBALIZANDO"/>
  </r>
  <r>
    <s v="BECERRIL MARTINEZ, EDUARDO TRINIDAD"/>
    <s v="ESTUDIO7527AC"/>
    <s v="S6JP83710"/>
    <x v="2"/>
    <d v="2026-10-08T00:00:00"/>
    <n v="21448312"/>
    <n v="20798150"/>
    <s v="A"/>
    <s v="EC"/>
    <s v="Wait for Parts"/>
    <x v="17"/>
    <n v="1"/>
    <s v="6LK42503000"/>
    <s v="GEAR-05H65-08H36-8-H38X (GEAR)"/>
    <n v="0"/>
    <d v="2026-10-05T00:00:00"/>
    <x v="0"/>
    <m/>
    <n v="2"/>
    <s v="CANIBALIZANDO"/>
  </r>
  <r>
    <s v="BECERRIL MARTINEZ, EDUARDO TRINIDAD"/>
    <s v="ESTUDIO7527AC"/>
    <s v="S6JP83710"/>
    <x v="2"/>
    <d v="2026-10-08T00:00:00"/>
    <n v="21448312"/>
    <n v="20798150"/>
    <s v="A"/>
    <s v="EC"/>
    <s v="Wait for Parts"/>
    <x v="17"/>
    <n v="1"/>
    <s v="6LK42507000"/>
    <s v="GEAR-10H22-8-H38X * (GEAR)"/>
    <n v="0"/>
    <d v="2026-10-05T00:00:00"/>
    <x v="0"/>
    <m/>
    <n v="2"/>
    <s v="CANIBALIZANDO"/>
  </r>
  <r>
    <s v="BECERRIL MARTINEZ, EDUARDO TRINIDAD"/>
    <s v="ESTUDIO7527AC"/>
    <s v="S6JP83710"/>
    <x v="2"/>
    <d v="2026-10-08T00:00:00"/>
    <n v="21448312"/>
    <n v="20798150"/>
    <s v="A"/>
    <s v="EC"/>
    <s v="Wait for Parts"/>
    <x v="17"/>
    <n v="1"/>
    <s v="6LL48460000"/>
    <s v="KIT-ROL-MR-4010 (PERIODICAL MAINTENANCE KIT (KIT-ROL-DSDF))"/>
    <n v="0"/>
    <d v="2026-10-05T00:00:00"/>
    <x v="0"/>
    <m/>
    <n v="2"/>
    <s v="CANIBALIZANDO"/>
  </r>
  <r>
    <s v="BECERRIL MARTINEZ, EDUARDO TRINIDAD"/>
    <s v="ESTUDIO7527AC"/>
    <s v="S6JP83710"/>
    <x v="2"/>
    <d v="2026-10-08T00:00:00"/>
    <n v="21448312"/>
    <n v="20798150"/>
    <s v="A"/>
    <s v="EC"/>
    <s v="Wait for Parts"/>
    <x v="17"/>
    <n v="1"/>
    <s v="6LL62228000S"/>
    <s v="MOTR_D-DRIVE-05L20-39-N"/>
    <n v="0"/>
    <d v="2026-10-05T00:00:00"/>
    <x v="0"/>
    <m/>
    <n v="2"/>
    <s v="CANIBALIZANDO"/>
  </r>
  <r>
    <s v="BECERRIL MARTINEZ, EDUARDO TRINIDAD"/>
    <s v="ESTUDIO7527AC"/>
    <s v="S6JP83710"/>
    <x v="2"/>
    <d v="2026-10-08T00:00:00"/>
    <n v="21448312"/>
    <n v="20798150"/>
    <s v="A"/>
    <s v="EC"/>
    <s v="Wait for Parts"/>
    <x v="17"/>
    <n v="2"/>
    <s v="RECIBOS"/>
    <s v="BLOCK DE SERVICIO"/>
    <n v="0"/>
    <d v="2026-10-05T00:00:00"/>
    <x v="0"/>
    <m/>
    <n v="2"/>
    <s v="CANIBALIZANDO"/>
  </r>
  <r>
    <s v="ESQUIVEL SILVA, DAVID"/>
    <s v="ESTUDIO409AS"/>
    <s v="701944840T8C9"/>
    <x v="12"/>
    <d v="2026-10-08T00:00:00"/>
    <n v="21334554"/>
    <n v="20798894"/>
    <s v="O"/>
    <s v="EC"/>
    <s v="Wait for Parts"/>
    <x v="18"/>
    <n v="1"/>
    <s v="41X2592S"/>
    <s v="HVPS"/>
    <n v="1"/>
    <d v="2026-10-09T00:00:00"/>
    <x v="1"/>
    <n v="958154"/>
    <n v="2"/>
    <s v="GUIA 5802099656 SE ENVIA HOY 09 OCT"/>
  </r>
  <r>
    <s v="ESQUIVEL SILVA, DAVID"/>
    <s v="ESTUDIO409AS"/>
    <s v="701950240VBPV"/>
    <x v="13"/>
    <d v="2026-10-08T00:00:00"/>
    <n v="21419834"/>
    <n v="20799627"/>
    <s v="PC"/>
    <s v="EC"/>
    <s v="Wait for Parts"/>
    <x v="19"/>
    <n v="1"/>
    <s v="OD409W"/>
    <s v="E-STUDIO409S BLACK IMAGING UNIT - 40K"/>
    <n v="1"/>
    <d v="2026-10-09T00:00:00"/>
    <x v="1"/>
    <n v="958149"/>
    <n v="2"/>
    <s v="GUIA 5802069464 SE ENVIA HOY 09 OCT"/>
  </r>
  <r>
    <s v="FARFAN GONZALEZ, JOSE CIRINO"/>
    <s v="ESTUDIO4528A"/>
    <s v="CTGP40460"/>
    <x v="14"/>
    <d v="2026-10-08T00:00:00"/>
    <n v="21442094"/>
    <n v="20798907"/>
    <s v="A"/>
    <s v="EC"/>
    <s v="Wait for Parts"/>
    <x v="20"/>
    <n v="1"/>
    <s v="6LK72107000"/>
    <s v="HR-5008A-U (HEAT ROLLER ASSEMBLY)"/>
    <n v="0"/>
    <d v="2023-11-17T00:00:00"/>
    <x v="0"/>
    <m/>
    <n v="2"/>
    <m/>
  </r>
  <r>
    <s v="FARFAN GONZALEZ, JOSE CIRINO"/>
    <s v="ESTUDIO4528A"/>
    <s v="CTGP40460"/>
    <x v="14"/>
    <d v="2026-10-08T00:00:00"/>
    <n v="21442094"/>
    <n v="20798907"/>
    <s v="A"/>
    <s v="EC"/>
    <s v="Wait for Parts"/>
    <x v="20"/>
    <n v="1"/>
    <s v="6LK72713000S"/>
    <s v="THMS-HTR-H413-CC"/>
    <n v="0"/>
    <d v="2023-11-17T00:00:00"/>
    <x v="0"/>
    <m/>
    <n v="2"/>
    <m/>
  </r>
  <r>
    <s v="FARFAN GONZALEZ, JOSE CIRINO"/>
    <s v="ESTUDIO4528A"/>
    <s v="CTGP40460"/>
    <x v="14"/>
    <d v="2026-10-08T00:00:00"/>
    <n v="21442094"/>
    <n v="20798907"/>
    <s v="A"/>
    <s v="EC"/>
    <s v="Wait for Parts"/>
    <x v="20"/>
    <n v="1"/>
    <s v="6LL39573000S"/>
    <s v="HRNS-CST-COV-K17X"/>
    <n v="0"/>
    <d v="2023-11-17T00:00:00"/>
    <x v="0"/>
    <m/>
    <n v="2"/>
    <m/>
  </r>
  <r>
    <s v="LOPEZ LOPEZ, ADRIAN ALEJANDRO"/>
    <s v="ESTUDIO9029A"/>
    <s v="C8IP14262"/>
    <x v="15"/>
    <d v="2026-10-08T00:00:00"/>
    <n v="21446176"/>
    <n v="20796507"/>
    <s v="C"/>
    <s v="CE"/>
    <s v="Down for Parts"/>
    <x v="21"/>
    <n v="2"/>
    <s v="6LH04711200"/>
    <s v="ACT-SW-EMPTY-K18X (ACTUATOR)"/>
    <n v="2"/>
    <d v="2026-10-09T00:00:00"/>
    <x v="0"/>
    <m/>
    <n v="2"/>
    <s v="ITEM 6LK40607000 COMPRA 13 OCT (PROBABLE ETA 19 OCT)"/>
  </r>
  <r>
    <s v="LOPEZ LOPEZ, ADRIAN ALEJANDRO"/>
    <s v="ESTUDIO9029A"/>
    <s v="C8IP14262"/>
    <x v="15"/>
    <d v="2026-10-08T00:00:00"/>
    <n v="21446176"/>
    <n v="20796507"/>
    <s v="C"/>
    <s v="CE"/>
    <s v="Down for Parts"/>
    <x v="21"/>
    <n v="2"/>
    <s v="6LK42409000"/>
    <s v="GEAR-10H21-IDL-PR-H38X * (GEAR)"/>
    <n v="2"/>
    <d v="2026-10-09T00:00:00"/>
    <x v="0"/>
    <m/>
    <n v="2"/>
    <s v="ITEM 6LK40607000 COMPRA 13 OCT (PROBABLE ETA 19 OCT)"/>
  </r>
  <r>
    <s v="LOPEZ LOPEZ, ADRIAN ALEJANDRO"/>
    <s v="ESTUDIO9029A"/>
    <s v="C8IP14262"/>
    <x v="15"/>
    <d v="2026-10-08T00:00:00"/>
    <n v="21446176"/>
    <n v="20796507"/>
    <s v="C"/>
    <s v="CE"/>
    <s v="Down for Parts"/>
    <x v="21"/>
    <n v="2"/>
    <s v="6LK42507000"/>
    <s v="GEAR-10H22-8-H38X * (GEAR)"/>
    <n v="2"/>
    <d v="2026-10-09T00:00:00"/>
    <x v="0"/>
    <m/>
    <n v="2"/>
    <s v="ITEM 6LK40607000 COMPRA 13 OCT (PROBABLE ETA 19 OCT)"/>
  </r>
  <r>
    <s v="LOPEZ LOPEZ, ADRIAN ALEJANDRO"/>
    <s v="ESTUDIO9029A"/>
    <s v="C8IP14262"/>
    <x v="15"/>
    <d v="2026-10-08T00:00:00"/>
    <n v="21446176"/>
    <n v="20796507"/>
    <s v="C"/>
    <s v="CE"/>
    <s v="Down for Parts"/>
    <x v="21"/>
    <n v="3"/>
    <s v="6LK40619000"/>
    <s v="EPU-KIT-FC556-S (PM KIT - E8508A)"/>
    <n v="3"/>
    <d v="2026-10-09T00:00:00"/>
    <x v="0"/>
    <m/>
    <n v="2"/>
    <s v="ITEM 6LK40607000 COMPRA 13 OCT (PROBABLE ETA 19 OCT)"/>
  </r>
  <r>
    <s v="RAMON DE DIOS, ROMAN"/>
    <s v="ESTUDIO2520AC"/>
    <s v="CSLM26943"/>
    <x v="16"/>
    <d v="2026-10-08T00:00:00"/>
    <n v="21438862"/>
    <n v="20793149"/>
    <s v="A"/>
    <s v="EC"/>
    <s v="Wait for Parts"/>
    <x v="22"/>
    <n v="1"/>
    <s v="6LL47242000"/>
    <s v="ASYB-OLED-HEAD-SVP (LED HEAD)"/>
    <n v="1"/>
    <d v="2026-10-09T00:00:00"/>
    <x v="1"/>
    <n v="958158"/>
    <n v="2"/>
    <s v="GUIA 1659253024 SE ENVIA HOY 09 OCT"/>
  </r>
  <r>
    <s v="RAMON DE DIOS, ROMAN"/>
    <s v="ESTUDIO2520AC"/>
    <s v="CSLM26943"/>
    <x v="16"/>
    <d v="2026-10-08T00:00:00"/>
    <n v="21438862"/>
    <n v="20793149"/>
    <s v="A"/>
    <s v="EC"/>
    <s v="Wait for Parts"/>
    <x v="22"/>
    <n v="1"/>
    <s v="6LL47242000S"/>
    <s v="ASYB-OLED-HEAD-SVP"/>
    <n v="1"/>
    <d v="2026-10-09T00:00:00"/>
    <x v="1"/>
    <n v="958158"/>
    <n v="2"/>
    <s v="GUIA 1659253024 SE ENVIA HOY 09 OCT"/>
  </r>
  <r>
    <s v="TREJO AGUILAR, JOSE RODRIGO"/>
    <s v="ESTUDIO5506ACU"/>
    <s v="CHEH27195"/>
    <x v="17"/>
    <d v="2026-10-08T00:00:00"/>
    <n v="21447632"/>
    <n v="20797325"/>
    <s v="P"/>
    <s v="PM"/>
    <s v="Wait for Parts"/>
    <x v="23"/>
    <n v="1"/>
    <s v="6LH03981000"/>
    <s v="BELT-TBU-G-F43X"/>
    <n v="0"/>
    <d v="2026-10-06T00:00:00"/>
    <x v="0"/>
    <m/>
    <n v="2"/>
    <s v="ITEM 6LK41162000,6LK41146000 COMPRA 13 OCT ( PROBABLE ETA 19 OCT)"/>
  </r>
  <r>
    <s v="TREJO AGUILAR, JOSE RODRIGO"/>
    <s v="ESTUDIO5506ACU"/>
    <s v="CHEH27195"/>
    <x v="17"/>
    <d v="2026-10-08T00:00:00"/>
    <n v="21447632"/>
    <n v="20797325"/>
    <s v="P"/>
    <s v="PM"/>
    <s v="Wait for Parts"/>
    <x v="23"/>
    <n v="1"/>
    <s v="6LK41146000"/>
    <s v="ASYS-CLN-RLR-TBU-H38X (CLEABER FELT)"/>
    <n v="0"/>
    <d v="2026-10-06T00:00:00"/>
    <x v="0"/>
    <m/>
    <n v="2"/>
    <s v="ITEM 6LK41162000,6LK41146000 COMPRA 13 OCT ( PROBABLE ETA 19 OCT)"/>
  </r>
  <r>
    <s v="TREJO AGUILAR, JOSE RODRIGO"/>
    <s v="ESTUDIO5506ACU"/>
    <s v="CHEH27195"/>
    <x v="17"/>
    <d v="2026-10-08T00:00:00"/>
    <n v="21447632"/>
    <n v="20797325"/>
    <s v="P"/>
    <s v="PM"/>
    <s v="Wait for Parts"/>
    <x v="23"/>
    <n v="1"/>
    <s v="6LK41162000"/>
    <s v="BL-FC556-TBU (BLADE)"/>
    <n v="0"/>
    <d v="2026-10-06T00:00:00"/>
    <x v="0"/>
    <m/>
    <n v="2"/>
    <s v="ITEM 6LK41162000,6LK41146000 COMPRA 13 OCT ( PROBABLE ETA 19 OCT)"/>
  </r>
  <r>
    <s v="MANZO VAZQUEZ, CESAR EDUARDO"/>
    <s v="ESTUDIO331AC"/>
    <s v="SWCR83631"/>
    <x v="18"/>
    <d v="2026-10-08T00:00:00"/>
    <n v="21425608"/>
    <n v="20798543"/>
    <s v="O"/>
    <s v="PJ"/>
    <s v="Wait for Parts"/>
    <x v="24"/>
    <n v="1"/>
    <s v="6LL01209000S"/>
    <s v="ASYB-LGC-K250S"/>
    <n v="1"/>
    <d v="2026-10-09T00:00:00"/>
    <x v="1"/>
    <n v="958196"/>
    <n v="2"/>
    <s v="CONSOLIDADOS EN OFICINAS GDL SE ENVIA HOY 09 OCT"/>
  </r>
  <r>
    <s v="MANZO VAZQUEZ, CESAR EDUARDO"/>
    <s v="ESTUDIO5525AC"/>
    <s v="SSJP84703"/>
    <x v="19"/>
    <d v="2026-10-08T00:00:00"/>
    <n v="21439708"/>
    <n v="20794970"/>
    <s v="P"/>
    <s v="PM"/>
    <s v="Wait for Parts"/>
    <x v="25"/>
    <n v="1"/>
    <s v="6LK49015000"/>
    <s v="OD-FC505 K (DRUM)"/>
    <n v="0"/>
    <d v="2026-10-09T00:00:00"/>
    <x v="0"/>
    <m/>
    <n v="2"/>
    <s v="ITEM 6LK49015000 ETA 12 OCT"/>
  </r>
  <r>
    <s v="GARCIA RUIZ, ROBERTO"/>
    <s v="ESTUDIO3528A"/>
    <s v="CTLN14710"/>
    <x v="20"/>
    <d v="2026-10-08T00:00:00"/>
    <n v="21446770"/>
    <n v="20798183"/>
    <s v="O"/>
    <s v="PJ"/>
    <s v="Wait for Parts"/>
    <x v="26"/>
    <n v="1"/>
    <s v="6LK72101000"/>
    <s v="HR-5008A-L * (HEAT ROLLER ASSY)"/>
    <n v="0"/>
    <d v="2026-10-07T00:00:00"/>
    <x v="0"/>
    <m/>
    <n v="2"/>
    <m/>
  </r>
  <r>
    <s v="GARCIA RUIZ, ROBERTO"/>
    <s v="ESTUDIO3528A"/>
    <s v="CTLN14710"/>
    <x v="20"/>
    <d v="2026-10-08T00:00:00"/>
    <n v="21446770"/>
    <n v="20798183"/>
    <s v="O"/>
    <s v="PJ"/>
    <s v="Wait for Parts"/>
    <x v="26"/>
    <n v="1"/>
    <s v="6LL33301000"/>
    <s v="OD-3028 (DRUM ASSEMBLY)"/>
    <n v="0"/>
    <d v="2026-10-07T00:00:00"/>
    <x v="0"/>
    <m/>
    <n v="2"/>
    <m/>
  </r>
  <r>
    <s v="AVILA LOPEZ, JORGE ANTONIO"/>
    <s v="ESTUDIO2010AC"/>
    <s v="CNKK10354"/>
    <x v="21"/>
    <d v="2026-10-08T00:00:00"/>
    <n v="21438698"/>
    <n v="20796700"/>
    <s v="O"/>
    <s v="EC"/>
    <s v="Down for Parts"/>
    <x v="27"/>
    <n v="1"/>
    <s v="6LK83613000S"/>
    <s v="ASYB-PWA-SYS-K100WS"/>
    <n v="0"/>
    <d v="2026-10-07T00:00:00"/>
    <x v="0"/>
    <m/>
    <n v="2"/>
    <s v="CANIBALIZANDO"/>
  </r>
  <r>
    <s v="AVILA LOPEZ, JORGE ANTONIO"/>
    <s v="ESTUDIO2010AC"/>
    <s v="CNKK10354"/>
    <x v="21"/>
    <d v="2026-10-08T00:00:00"/>
    <n v="21438698"/>
    <n v="20796700"/>
    <s v="O"/>
    <s v="EC"/>
    <s v="Down for Parts"/>
    <x v="27"/>
    <n v="1"/>
    <s v="G0-00732000S"/>
    <s v="MQ01ABU032W * (HARD DISK DRIVE 320GB TSB)"/>
    <n v="0"/>
    <d v="2026-10-07T00:00:00"/>
    <x v="0"/>
    <m/>
    <n v="2"/>
    <s v="CANIBALIZANDO"/>
  </r>
  <r>
    <s v="AVILA LOPEZ, JORGE ANTONIO"/>
    <s v="ESTUDIO2520AC"/>
    <s v="CSJM20989"/>
    <x v="16"/>
    <d v="2026-10-08T00:00:00"/>
    <n v="21438664"/>
    <n v="20798257"/>
    <s v="A"/>
    <s v="EC"/>
    <s v="Down for Parts"/>
    <x v="28"/>
    <n v="1"/>
    <s v="6LJ55415000S"/>
    <s v="SP-AUGER-G10-P5-S1"/>
    <n v="0"/>
    <d v="2024-08-02T00:00:00"/>
    <x v="0"/>
    <m/>
    <n v="2"/>
    <s v="CANIBALIZANDO"/>
  </r>
  <r>
    <s v="AVILA LOPEZ, JORGE ANTONIO"/>
    <s v="ESTUDIO2520AC"/>
    <s v="CSJM20989"/>
    <x v="16"/>
    <d v="2026-10-08T00:00:00"/>
    <n v="21438664"/>
    <n v="20798257"/>
    <s v="A"/>
    <s v="EC"/>
    <s v="Down for Parts"/>
    <x v="28"/>
    <n v="1"/>
    <s v="6LJ70396000S"/>
    <s v="BL-FC30TR"/>
    <n v="0"/>
    <d v="2024-08-02T00:00:00"/>
    <x v="0"/>
    <m/>
    <n v="2"/>
    <s v="CANIBALIZANDO"/>
  </r>
  <r>
    <s v="AVILA LOPEZ, JORGE ANTONIO"/>
    <s v="ESTUDIO2520AC"/>
    <s v="CSJM20989"/>
    <x v="16"/>
    <d v="2026-10-08T00:00:00"/>
    <n v="21438664"/>
    <n v="20798257"/>
    <s v="A"/>
    <s v="EC"/>
    <s v="Down for Parts"/>
    <x v="28"/>
    <n v="1"/>
    <s v="6LJ70994000S"/>
    <s v="Yellow Developer TOSHIBA e2051C/e2551C/e2050C/e2550C"/>
    <n v="0"/>
    <d v="2024-08-02T00:00:00"/>
    <x v="0"/>
    <m/>
    <n v="2"/>
    <s v="CANIBALIZANDO"/>
  </r>
  <r>
    <s v="AVILA LOPEZ, JORGE ANTONIO"/>
    <s v="ESTUDIO2520AC"/>
    <s v="CSJM20989"/>
    <x v="16"/>
    <d v="2026-10-08T00:00:00"/>
    <n v="21438664"/>
    <n v="20798257"/>
    <s v="A"/>
    <s v="EC"/>
    <s v="Down for Parts"/>
    <x v="28"/>
    <n v="1"/>
    <s v="6LJ70994100S"/>
    <s v="D-FC30-M"/>
    <n v="0"/>
    <d v="2024-08-02T00:00:00"/>
    <x v="0"/>
    <m/>
    <n v="2"/>
    <s v="CANIBALIZANDO"/>
  </r>
  <r>
    <s v="AVILA LOPEZ, JORGE ANTONIO"/>
    <s v="ESTUDIO2520AC"/>
    <s v="CSJM20989"/>
    <x v="16"/>
    <d v="2026-10-08T00:00:00"/>
    <n v="21438664"/>
    <n v="20798257"/>
    <s v="A"/>
    <s v="EC"/>
    <s v="Down for Parts"/>
    <x v="28"/>
    <n v="1"/>
    <s v="6LJ70994200S"/>
    <s v="D-FC30-C (DEVELOPER)"/>
    <n v="0"/>
    <d v="2024-08-02T00:00:00"/>
    <x v="0"/>
    <m/>
    <n v="2"/>
    <s v="CANIBALIZANDO"/>
  </r>
  <r>
    <s v="AVILA LOPEZ, JORGE ANTONIO"/>
    <s v="ESTUDIO2520AC"/>
    <s v="CSJM20989"/>
    <x v="16"/>
    <d v="2026-10-08T00:00:00"/>
    <n v="21438664"/>
    <n v="20798257"/>
    <s v="A"/>
    <s v="EC"/>
    <s v="Down for Parts"/>
    <x v="28"/>
    <n v="3"/>
    <s v="6LJ54055000"/>
    <s v="GEAR-04H-29-9-MIX-AGIR (GEAR)"/>
    <n v="0"/>
    <d v="2024-08-02T00:00:00"/>
    <x v="0"/>
    <m/>
    <n v="2"/>
    <s v="CANIBALIZANDO"/>
  </r>
  <r>
    <s v="AVILA LOPEZ, JORGE ANTONIO"/>
    <s v="ESTUDIO2520AC"/>
    <s v="CSJM20989"/>
    <x v="16"/>
    <d v="2026-10-08T00:00:00"/>
    <n v="21438664"/>
    <n v="20798257"/>
    <s v="A"/>
    <s v="EC"/>
    <s v="Down for Parts"/>
    <x v="28"/>
    <n v="3"/>
    <s v="6LJ54056000"/>
    <s v="GEAR-04H-29-9-MIX-SPLR (GEAR)"/>
    <n v="0"/>
    <d v="2024-08-02T00:00:00"/>
    <x v="0"/>
    <m/>
    <n v="2"/>
    <s v="CANIBALIZANDO"/>
  </r>
  <r>
    <s v="AVILA LOPEZ, JORGE ANTONIO"/>
    <s v="ESTUDIO2520AC"/>
    <s v="CSJM20989"/>
    <x v="16"/>
    <d v="2026-10-08T00:00:00"/>
    <n v="21438664"/>
    <n v="20798257"/>
    <s v="A"/>
    <s v="EC"/>
    <s v="Down for Parts"/>
    <x v="28"/>
    <n v="3"/>
    <s v="6LJ54057000"/>
    <s v="GEAR-04H-42-6-IDLE-21X (GEAR)"/>
    <n v="0"/>
    <d v="2024-08-02T00:00:00"/>
    <x v="0"/>
    <m/>
    <n v="2"/>
    <s v="CANIBALIZANDO"/>
  </r>
  <r>
    <s v="AVILA LOPEZ, JORGE ANTONIO"/>
    <s v="ESTUDIO2520AC"/>
    <s v="CSJM20989"/>
    <x v="16"/>
    <d v="2026-10-08T00:00:00"/>
    <n v="21438664"/>
    <n v="20798257"/>
    <s v="A"/>
    <s v="EC"/>
    <s v="Down for Parts"/>
    <x v="28"/>
    <n v="4"/>
    <s v="6LJ70402200"/>
    <s v="OD-FC30N"/>
    <n v="0"/>
    <d v="2024-08-02T00:00:00"/>
    <x v="0"/>
    <m/>
    <n v="2"/>
    <s v="CANIBALIZANDO"/>
  </r>
  <r>
    <s v="REBELEZ GARZA, JOSE MANUEL"/>
    <s v="ESTUDIO2528A"/>
    <s v="CTDP29719"/>
    <x v="22"/>
    <d v="2026-10-08T00:00:00"/>
    <n v="21435988"/>
    <n v="20797757"/>
    <s v="O"/>
    <s v="CQ"/>
    <s v="Wait for Parts"/>
    <x v="29"/>
    <n v="1"/>
    <s v="6LK72107000"/>
    <s v="HR-5008A-U (HEAT ROLLER ASSEMBLY)"/>
    <n v="0"/>
    <d v="2026-09-29T00:00:00"/>
    <x v="0"/>
    <m/>
    <n v="2"/>
    <m/>
  </r>
  <r>
    <s v="REBELEZ GARZA, JOSE MANUEL"/>
    <s v="ESTUDIO2528A"/>
    <s v="CTDP29719"/>
    <x v="22"/>
    <d v="2026-10-08T00:00:00"/>
    <n v="21435988"/>
    <n v="20797757"/>
    <s v="O"/>
    <s v="CQ"/>
    <s v="Wait for Parts"/>
    <x v="30"/>
    <n v="1"/>
    <s v="6LK72102000"/>
    <s v="HR-3008A-L * (HEAT ROLLER ASSY)"/>
    <n v="0"/>
    <d v="2026-09-29T00:00:00"/>
    <x v="0"/>
    <m/>
    <n v="2"/>
    <m/>
  </r>
  <r>
    <s v="REBELEZ GARZA, JOSE MANUEL"/>
    <s v="ESTUDIO2528A"/>
    <s v="CTDP29719"/>
    <x v="22"/>
    <d v="2026-10-08T00:00:00"/>
    <n v="21435988"/>
    <n v="20797757"/>
    <s v="O"/>
    <s v="CQ"/>
    <s v="Wait for Parts"/>
    <x v="31"/>
    <n v="1"/>
    <s v="6LL37515000"/>
    <s v="D-3028 (DEVELOPER)"/>
    <n v="1"/>
    <d v="2026-10-09T00:00:00"/>
    <x v="1"/>
    <m/>
    <n v="2"/>
    <m/>
  </r>
  <r>
    <s v="MORALES NAZARIO, CARLOS ALBERTO"/>
    <s v="ESTUDIO8518A"/>
    <s v="C2LM42839"/>
    <x v="23"/>
    <d v="2026-10-08T00:00:00"/>
    <n v="21450966"/>
    <n v="20798833"/>
    <s v="P"/>
    <s v="PM"/>
    <s v="Wait for Parts"/>
    <x v="32"/>
    <n v="1"/>
    <s v="6LH03981000"/>
    <s v="BELT-TBU-G-F43X"/>
    <n v="1"/>
    <d v="2026-10-08T00:00:00"/>
    <x v="1"/>
    <n v="958132"/>
    <n v="2"/>
    <s v="GESTIONA MTY ENTREGA APROX 12 OCT"/>
  </r>
  <r>
    <s v="MORALES NAZARIO, CARLOS ALBERTO"/>
    <s v="ESTUDIO8518A"/>
    <s v="C2LM42839"/>
    <x v="23"/>
    <d v="2026-10-08T00:00:00"/>
    <n v="21450966"/>
    <n v="20798833"/>
    <s v="P"/>
    <s v="PM"/>
    <s v="Wait for Parts"/>
    <x v="32"/>
    <n v="2"/>
    <s v="6LK42668000"/>
    <s v="ASY-FUSER-BELT-FC556 (FUSER BELT)"/>
    <n v="2"/>
    <d v="2026-10-08T00:00:00"/>
    <x v="1"/>
    <n v="958132"/>
    <n v="2"/>
    <s v="GESTIONA MTY ENTREGA APROX 12 OCT"/>
  </r>
  <r>
    <s v="AYODORO LOPEZ, SAUL ISIDRO"/>
    <s v="ESTUDIO409S"/>
    <s v="701930210FL4M"/>
    <x v="24"/>
    <d v="2026-10-09T00:00:00"/>
    <n v="21436346"/>
    <n v="20806348"/>
    <s v="O"/>
    <s v="CQ"/>
    <s v="Wait for Parts"/>
    <x v="33"/>
    <n v="1"/>
    <s v="41X2976S"/>
    <s v="CONTROLLER BOARD"/>
    <n v="0"/>
    <d v="2026-10-07T00:00:00"/>
    <x v="0"/>
    <m/>
    <n v="1"/>
    <m/>
  </r>
  <r>
    <s v="AYODORO LOPEZ, SAUL ISIDRO"/>
    <s v="ESTUDIO409S"/>
    <s v="701930210FL4M"/>
    <x v="24"/>
    <d v="2026-10-09T00:00:00"/>
    <n v="21436346"/>
    <n v="20806348"/>
    <s v="O"/>
    <s v="CQ"/>
    <s v="Wait for Parts"/>
    <x v="33"/>
    <n v="3"/>
    <s v="RECIBOS"/>
    <s v="BLOCK DE SERVICIO"/>
    <n v="0"/>
    <d v="2026-10-07T00:00:00"/>
    <x v="0"/>
    <m/>
    <n v="1"/>
    <m/>
  </r>
  <r>
    <s v="BARAJAS VELAZQUEZ, GERARDO"/>
    <s v="ESTUDIO2822AM"/>
    <s v="CKAP32789"/>
    <x v="1"/>
    <d v="2026-10-09T00:00:00"/>
    <n v="21459360"/>
    <n v="20806656"/>
    <s v="P"/>
    <s v="PM"/>
    <s v="Wait for Parts"/>
    <x v="34"/>
    <n v="1"/>
    <s v="6LJ74916100S"/>
    <s v="TRAY-SFB-L-H24X-HIPS"/>
    <n v="0"/>
    <d v="2023-05-25T00:00:00"/>
    <x v="0"/>
    <m/>
    <n v="1"/>
    <m/>
  </r>
  <r>
    <s v="BARAJAS VELAZQUEZ, GERARDO"/>
    <s v="ESTUDIO2822AM"/>
    <s v="CKAP32789"/>
    <x v="1"/>
    <d v="2026-10-09T00:00:00"/>
    <n v="21459360"/>
    <n v="20806656"/>
    <s v="P"/>
    <s v="PM"/>
    <s v="Wait for Parts"/>
    <x v="34"/>
    <n v="1"/>
    <s v="6LJ74929000S"/>
    <s v="ASYS-TRAY-FED-SFB-H24X"/>
    <n v="0"/>
    <d v="2023-05-25T00:00:00"/>
    <x v="0"/>
    <m/>
    <n v="1"/>
    <m/>
  </r>
  <r>
    <s v="BARAJAS VELAZQUEZ, GERARDO"/>
    <s v="ESTUDIO2822AM"/>
    <s v="CKAP32789"/>
    <x v="1"/>
    <d v="2026-10-09T00:00:00"/>
    <n v="21459360"/>
    <n v="20806656"/>
    <s v="P"/>
    <s v="PM"/>
    <s v="Wait for Parts"/>
    <x v="34"/>
    <n v="1"/>
    <s v="6LJ83358000"/>
    <s v="OD-2505 DRUM"/>
    <n v="0"/>
    <d v="2023-05-25T00:00:00"/>
    <x v="0"/>
    <m/>
    <n v="1"/>
    <m/>
  </r>
  <r>
    <s v="BARAJAS VELAZQUEZ, GERARDO"/>
    <s v="ESTUDIO2822AM"/>
    <s v="CKAP32789"/>
    <x v="1"/>
    <d v="2026-10-09T00:00:00"/>
    <n v="21459360"/>
    <n v="20806656"/>
    <s v="P"/>
    <s v="PM"/>
    <s v="Wait for Parts"/>
    <x v="34"/>
    <n v="1"/>
    <s v="6LL39101000"/>
    <s v="BL-2320D_BD"/>
    <n v="0"/>
    <d v="2023-05-25T00:00:00"/>
    <x v="0"/>
    <m/>
    <n v="1"/>
    <m/>
  </r>
  <r>
    <s v="BARAJAS VELAZQUEZ, GERARDO"/>
    <s v="ESTUDIO2822AM"/>
    <s v="CKAP32789"/>
    <x v="1"/>
    <d v="2026-10-09T00:00:00"/>
    <n v="21459360"/>
    <n v="20806656"/>
    <s v="P"/>
    <s v="PM"/>
    <s v="Wait for Parts"/>
    <x v="34"/>
    <n v="2"/>
    <s v="6LJ75220000S"/>
    <s v="SIDE-GUIDE-H24X"/>
    <n v="0"/>
    <d v="2023-05-25T00:00:00"/>
    <x v="0"/>
    <m/>
    <n v="1"/>
    <m/>
  </r>
  <r>
    <s v="BARAJAS VELAZQUEZ, GERARDO"/>
    <s v="ESTUDIO3528A"/>
    <s v="CTIP43843"/>
    <x v="25"/>
    <d v="2026-10-09T00:00:00"/>
    <n v="21447002"/>
    <n v="20804739"/>
    <s v="A"/>
    <s v="CQ"/>
    <s v="Wait for Parts"/>
    <x v="35"/>
    <n v="1"/>
    <s v="6LK72107000"/>
    <s v="HR-5008A-U (HEAT ROLLER ASSEMBLY)"/>
    <n v="0"/>
    <d v="2026-10-05T00:00:00"/>
    <x v="0"/>
    <m/>
    <n v="1"/>
    <m/>
  </r>
  <r>
    <s v="BARAJAS VELAZQUEZ, GERARDO"/>
    <s v="ESTUDIO5525AC"/>
    <s v="CSCN65380"/>
    <x v="26"/>
    <d v="2026-10-09T00:00:00"/>
    <n v="21441320"/>
    <n v="20803801"/>
    <s v="A"/>
    <s v="EC"/>
    <s v="Wait for Parts"/>
    <x v="36"/>
    <n v="1"/>
    <s v="6LE49877000"/>
    <s v="ASYS-ROL-RET-RU (ROLLER ASSEMBLY)"/>
    <n v="0"/>
    <d v="2026-10-05T00:00:00"/>
    <x v="0"/>
    <m/>
    <n v="1"/>
    <m/>
  </r>
  <r>
    <s v="BARAJAS VELAZQUEZ, GERARDO"/>
    <s v="ESTUDIO5525AC"/>
    <s v="CSCN65380"/>
    <x v="26"/>
    <d v="2026-10-09T00:00:00"/>
    <n v="21441320"/>
    <n v="20803801"/>
    <s v="A"/>
    <s v="EC"/>
    <s v="Wait for Parts"/>
    <x v="36"/>
    <n v="1"/>
    <s v="6LJ56242000"/>
    <s v="ASYS-ROLL-FEED-H21X_H (ROLLER ASSEMBLY)"/>
    <n v="0"/>
    <d v="2026-10-05T00:00:00"/>
    <x v="0"/>
    <m/>
    <n v="1"/>
    <m/>
  </r>
  <r>
    <s v="BARAJAS VELAZQUEZ, GERARDO"/>
    <s v="ESTUDIO5525AC"/>
    <s v="CSCN65380"/>
    <x v="26"/>
    <d v="2026-10-09T00:00:00"/>
    <n v="21441320"/>
    <n v="20803801"/>
    <s v="A"/>
    <s v="EC"/>
    <s v="Wait for Parts"/>
    <x v="36"/>
    <n v="1"/>
    <s v="6LK55468000"/>
    <s v="PR-FC505 (PRESS ROLLER ASSEMBLY)"/>
    <n v="0"/>
    <d v="2026-10-05T00:00:00"/>
    <x v="0"/>
    <m/>
    <n v="1"/>
    <m/>
  </r>
  <r>
    <s v="BOLANOS CASTILLO, JULIO CESAR"/>
    <s v="ESTUDIO8508AU"/>
    <s v="CIIG22935"/>
    <x v="8"/>
    <d v="2026-10-09T00:00:00"/>
    <n v="21454808"/>
    <n v="20805562"/>
    <s v="A"/>
    <s v="EC"/>
    <s v="Down for Parts"/>
    <x v="37"/>
    <n v="1"/>
    <s v="G0-00732000S"/>
    <s v="MQ01ABU032W * (HARD DISK DRIVE 320GB TSB)"/>
    <n v="0"/>
    <d v="2026-09-15T00:00:00"/>
    <x v="0"/>
    <m/>
    <n v="1"/>
    <m/>
  </r>
  <r>
    <s v="BOLANOS CASTILLO, JULIO CESAR"/>
    <s v="ESTUDIO8518AU"/>
    <s v="C2KJ21951"/>
    <x v="27"/>
    <d v="2026-10-09T00:00:00"/>
    <n v="21455996"/>
    <n v="20802718"/>
    <s v="O"/>
    <s v="PJ"/>
    <s v="Down for Parts"/>
    <x v="38"/>
    <n v="2"/>
    <s v="6LK73160000"/>
    <s v="SNSR-FED-RVS-H380 (SENSOR)"/>
    <n v="2"/>
    <d v="2026-10-09T00:00:00"/>
    <x v="1"/>
    <m/>
    <n v="1"/>
    <m/>
  </r>
  <r>
    <s v="CORDOBA VELAZQUEZ, BULMARO"/>
    <s v="ESTUDIO4505ACU"/>
    <s v="CFEH56169"/>
    <x v="28"/>
    <d v="2026-10-09T00:00:00"/>
    <n v="21271388"/>
    <n v="20800126"/>
    <s v="A"/>
    <s v="PJ"/>
    <s v="Wait for Parts"/>
    <x v="39"/>
    <n v="1"/>
    <s v="6LK45855000"/>
    <s v="SNSR-ATC-H373 (SENSOR)"/>
    <n v="1"/>
    <d v="2026-10-09T00:00:00"/>
    <x v="0"/>
    <m/>
    <n v="1"/>
    <s v="CANIBALIZANDO"/>
  </r>
  <r>
    <s v="CORDOBA VELAZQUEZ, BULMARO"/>
    <s v="ESTUDIO4505ACU"/>
    <s v="CFEH56169"/>
    <x v="28"/>
    <d v="2026-10-09T00:00:00"/>
    <n v="21271388"/>
    <n v="20800126"/>
    <s v="A"/>
    <s v="PJ"/>
    <s v="Wait for Parts"/>
    <x v="39"/>
    <n v="1"/>
    <s v="6LK48963000S"/>
    <s v="ASYS-CASE-DEV-H373"/>
    <n v="1"/>
    <d v="2026-10-09T00:00:00"/>
    <x v="0"/>
    <m/>
    <n v="1"/>
    <s v="CANIBALIZANDO"/>
  </r>
  <r>
    <s v="COTA OJEDA, FEDEL"/>
    <s v="ESTUDIO409AS"/>
    <s v="701935340KWWT"/>
    <x v="29"/>
    <d v="2026-10-09T00:00:00"/>
    <n v="21439290"/>
    <n v="20800115"/>
    <s v="PC"/>
    <s v="EC"/>
    <s v="Wait for Parts"/>
    <x v="40"/>
    <n v="1"/>
    <s v="OD409W"/>
    <s v="E-STUDIO409S BLACK IMAGING UNIT - 40K"/>
    <n v="1"/>
    <d v="2026-10-09T00:00:00"/>
    <x v="1"/>
    <n v="958143"/>
    <n v="1"/>
    <s v="GUIA 1659196066 SE ENVIA HOY 09 OCT"/>
  </r>
  <r>
    <s v="DESAMPEDRO FERNANDEZ, ULISES"/>
    <s v="ESTUDIO3018A"/>
    <s v="CZGL27773"/>
    <x v="20"/>
    <d v="2026-10-09T00:00:00"/>
    <n v="21447492"/>
    <n v="20805538"/>
    <s v="A"/>
    <s v="WF"/>
    <s v="Wait for Parts"/>
    <x v="41"/>
    <n v="1"/>
    <s v="6LK72100000"/>
    <s v="**CH-6LK72107000; HR-5008A-U"/>
    <n v="0"/>
    <d v="2024-07-05T00:00:00"/>
    <x v="0"/>
    <m/>
    <n v="1"/>
    <m/>
  </r>
  <r>
    <s v="ESQUIVEL SILVA, DAVID"/>
    <s v="ESTUDIO7527ACT"/>
    <s v="C6EN11484"/>
    <x v="2"/>
    <d v="2026-10-09T00:00:00"/>
    <n v="21402606"/>
    <n v="20805922"/>
    <s v="O"/>
    <s v="CQ"/>
    <s v="Wait for Parts"/>
    <x v="42"/>
    <n v="1"/>
    <s v="6LH02636000"/>
    <s v="COV-TERM-HVT-EPU"/>
    <n v="0"/>
    <d v="2026-10-09T00:00:00"/>
    <x v="0"/>
    <m/>
    <n v="1"/>
    <m/>
  </r>
  <r>
    <s v="ESQUIVEL SILVA, DAVID"/>
    <s v="ESTUDIO7527ACT"/>
    <s v="C6EN11484"/>
    <x v="2"/>
    <d v="2026-10-09T00:00:00"/>
    <n v="21402606"/>
    <n v="20805922"/>
    <s v="O"/>
    <s v="CQ"/>
    <s v="Wait for Parts"/>
    <x v="42"/>
    <n v="1"/>
    <s v="6LH02638000"/>
    <s v="TERM-HVT-EPU, -11kV"/>
    <n v="0"/>
    <d v="2026-10-09T00:00:00"/>
    <x v="0"/>
    <m/>
    <n v="1"/>
    <m/>
  </r>
  <r>
    <s v="FARFAN GONZALEZ, JOSE CIRINO"/>
    <s v="ESTUDIO478S"/>
    <s v="701831640LL9T"/>
    <x v="8"/>
    <d v="2026-10-09T00:00:00"/>
    <n v="21459090"/>
    <n v="20805343"/>
    <s v="O"/>
    <s v="CQ"/>
    <s v="Wait for Parts"/>
    <x v="43"/>
    <n v="1"/>
    <s v="41X1164S"/>
    <s v="NAMEPLATE 550"/>
    <n v="0"/>
    <d v="2023-11-17T00:00:00"/>
    <x v="0"/>
    <m/>
    <n v="1"/>
    <m/>
  </r>
  <r>
    <s v="FARFAN GONZALEZ, JOSE CIRINO"/>
    <s v="ESTUDIO478S"/>
    <s v="701831640LL9T"/>
    <x v="8"/>
    <d v="2026-10-09T00:00:00"/>
    <n v="21459090"/>
    <n v="20805343"/>
    <s v="O"/>
    <s v="CQ"/>
    <s v="Wait for Parts"/>
    <x v="43"/>
    <n v="1"/>
    <s v="41X1185"/>
    <s v="LASER SCANNING UNIT"/>
    <n v="0"/>
    <d v="2023-11-17T00:00:00"/>
    <x v="0"/>
    <m/>
    <n v="1"/>
    <m/>
  </r>
  <r>
    <s v="GOMEZ GARCIA, ARTURO"/>
    <s v="ESTUDIO7516ACT"/>
    <s v="C1LM39707"/>
    <x v="2"/>
    <d v="2026-10-09T00:00:00"/>
    <n v="21456472"/>
    <n v="20805162"/>
    <s v="A"/>
    <s v="EC"/>
    <s v="Wait for Parts"/>
    <x v="44"/>
    <n v="1"/>
    <s v="6LH68707000S"/>
    <s v="BUSH-6 (BUSHING(BUSH))"/>
    <n v="0"/>
    <d v="2025-01-07T00:00:00"/>
    <x v="0"/>
    <m/>
    <n v="1"/>
    <m/>
  </r>
  <r>
    <s v="GOMEZ GARCIA, ARTURO"/>
    <s v="ESTUDIO7516ACT"/>
    <s v="C1LM39707"/>
    <x v="2"/>
    <d v="2026-10-09T00:00:00"/>
    <n v="21456472"/>
    <n v="20805162"/>
    <s v="A"/>
    <s v="EC"/>
    <s v="Wait for Parts"/>
    <x v="44"/>
    <n v="1"/>
    <s v="6LK44136000"/>
    <s v="KIT-BELT-HLDUNIT-FC556 (BELT HOLDER UNIT KIT)"/>
    <n v="0"/>
    <d v="2025-01-07T00:00:00"/>
    <x v="0"/>
    <m/>
    <n v="1"/>
    <m/>
  </r>
  <r>
    <s v="GOMEZ GARCIA, ARTURO"/>
    <s v="ESTUDIO7516ACT"/>
    <s v="C1LM39707"/>
    <x v="2"/>
    <d v="2026-10-09T00:00:00"/>
    <n v="21456472"/>
    <n v="20805162"/>
    <s v="A"/>
    <s v="EC"/>
    <s v="Wait for Parts"/>
    <x v="44"/>
    <n v="1"/>
    <s v="X0-00966000S"/>
    <s v="RR/E-5-SS"/>
    <n v="0"/>
    <d v="2025-01-07T00:00:00"/>
    <x v="0"/>
    <m/>
    <n v="1"/>
    <m/>
  </r>
  <r>
    <s v="GUERRA PEREZ, JOSE MANUEL"/>
    <s v="ESTUDIO478S"/>
    <s v="701804230BZNT"/>
    <x v="30"/>
    <d v="2026-10-09T00:00:00"/>
    <n v="21402252"/>
    <n v="20806470"/>
    <s v="A"/>
    <s v="EC"/>
    <s v="Wait for Parts"/>
    <x v="45"/>
    <n v="1"/>
    <s v="41X0051S"/>
    <s v="**CH-41X1150; CONTROL PANEL DISPLAY ASSY"/>
    <n v="0"/>
    <d v="2025-01-07T00:00:00"/>
    <x v="0"/>
    <m/>
    <n v="1"/>
    <m/>
  </r>
  <r>
    <s v="TREJO AGUILAR, JOSE RODRIGO"/>
    <s v="ESTUDIO409S"/>
    <s v="7019138103VDW"/>
    <x v="31"/>
    <d v="2026-10-09T00:00:00"/>
    <n v="21439302"/>
    <n v="20800119"/>
    <s v="P"/>
    <s v="PM"/>
    <s v="Wait for Parts"/>
    <x v="46"/>
    <n v="1"/>
    <s v="41X2980S"/>
    <s v="Scanner with fax card (MB3442, MX431, XM1342)"/>
    <n v="0"/>
    <d v="2026-10-06T00:00:00"/>
    <x v="0"/>
    <m/>
    <n v="1"/>
    <s v="CANIBALIZANDO"/>
  </r>
  <r>
    <s v="TREJO AGUILAR, JOSE RODRIGO"/>
    <s v="ESTUDIO409S"/>
    <s v="7019138103VDW"/>
    <x v="31"/>
    <d v="2026-10-09T00:00:00"/>
    <n v="21439302"/>
    <n v="20800119"/>
    <s v="P"/>
    <s v="PM"/>
    <s v="Wait for Parts"/>
    <x v="46"/>
    <n v="1"/>
    <s v="OD409W"/>
    <s v="E-STUDIO409S BLACK IMAGING UNIT - 40K"/>
    <n v="0"/>
    <d v="2026-10-06T00:00:00"/>
    <x v="0"/>
    <m/>
    <n v="1"/>
    <s v="CANIBALIZANDO"/>
  </r>
  <r>
    <s v="RODRIGUEZ RODRIGUEZ, JOSUE ROBERTO"/>
    <s v="ESTUDIO8508AU"/>
    <s v="CIBH26259"/>
    <x v="8"/>
    <d v="2026-10-09T00:00:00"/>
    <n v="21451642"/>
    <n v="20802629"/>
    <s v="O"/>
    <s v="EC"/>
    <s v="Wait for Parts"/>
    <x v="47"/>
    <n v="1"/>
    <s v="6LH03981000"/>
    <s v="BELT-TBU-G-F43X"/>
    <n v="0"/>
    <d v="2026-10-09T00:00:00"/>
    <x v="0"/>
    <m/>
    <n v="1"/>
    <m/>
  </r>
  <r>
    <s v="RODRIGUEZ RODRIGUEZ, JOSUE ROBERTO"/>
    <s v="ESTUDIO8508AU"/>
    <s v="CIBH26259"/>
    <x v="8"/>
    <d v="2026-10-09T00:00:00"/>
    <n v="21451642"/>
    <n v="20802629"/>
    <s v="O"/>
    <s v="EC"/>
    <s v="Wait for Parts"/>
    <x v="47"/>
    <n v="1"/>
    <s v="6LJ07183100"/>
    <s v="RLR-CLN-TBU-H130-PBF2 (ROLLER)"/>
    <n v="0"/>
    <d v="2026-10-09T00:00:00"/>
    <x v="0"/>
    <m/>
    <n v="1"/>
    <m/>
  </r>
  <r>
    <s v="RODRIGUEZ RODRIGUEZ, JOSUE ROBERTO"/>
    <s v="ESTUDIO8508AU"/>
    <s v="CIBH26259"/>
    <x v="8"/>
    <d v="2026-10-09T00:00:00"/>
    <n v="21451642"/>
    <n v="20802629"/>
    <s v="O"/>
    <s v="EC"/>
    <s v="Wait for Parts"/>
    <x v="47"/>
    <n v="1"/>
    <s v="6LK54293000"/>
    <s v="KIT-ROL-DSDF (PM KIT)"/>
    <n v="0"/>
    <d v="2026-10-09T00:00:00"/>
    <x v="0"/>
    <m/>
    <n v="1"/>
    <m/>
  </r>
  <r>
    <s v="FLORES CRUZ, MARCO ANTONIO"/>
    <s v="ESTUDIO409S"/>
    <s v="7019138103VBZ"/>
    <x v="31"/>
    <d v="2026-10-09T00:00:00"/>
    <n v="21451070"/>
    <n v="20803029"/>
    <s v="O"/>
    <s v="PJ"/>
    <s v="Wait for Parts"/>
    <x v="48"/>
    <n v="1"/>
    <s v="41X2575"/>
    <s v="PICK SEPARATOR ROLLER"/>
    <n v="1"/>
    <d v="2026-10-09T00:00:00"/>
    <x v="1"/>
    <m/>
    <n v="1"/>
    <m/>
  </r>
  <r>
    <s v="ANGULO FRIAS, JORGE SAUL"/>
    <s v="ESTUDIO409AS"/>
    <s v="701942040MVFY"/>
    <x v="32"/>
    <d v="2026-10-10T00:00:00"/>
    <n v="21447642"/>
    <n v="20807317"/>
    <s v="A"/>
    <s v="EC"/>
    <s v="Wait for Parts"/>
    <x v="49"/>
    <n v="1"/>
    <s v="OD409W"/>
    <s v="E-STUDIO409S BLACK IMAGING UNIT - 40K"/>
    <n v="0"/>
    <d v="2026-10-11T00:00:00"/>
    <x v="0"/>
    <m/>
    <n v="0"/>
    <m/>
  </r>
  <r>
    <s v="ANGULO FRIAS, JORGE SAUL"/>
    <s v="ESTUDIO7516ACT"/>
    <s v="S1IM91547"/>
    <x v="2"/>
    <d v="2026-10-03T00:00:00"/>
    <n v="21401806"/>
    <n v="20762994"/>
    <s v="O"/>
    <s v="CQ"/>
    <s v="Wait for Parts"/>
    <x v="50"/>
    <n v="1"/>
    <s v="6LK43607200"/>
    <s v="D-FC556-C (DEVELOPER CARTRIDGE )"/>
    <n v="1"/>
    <d v="2026-10-05T00:00:00"/>
    <x v="2"/>
    <n v="957399"/>
    <n v="0"/>
    <s v="RECIBIDO POR YAZIRA SANTOS-SERVICENTRO"/>
  </r>
  <r>
    <s v="ANGULO FRIAS, JORGE SAUL"/>
    <s v="ESTUDIO7516ACT"/>
    <s v="S1IM91561"/>
    <x v="2"/>
    <d v="2026-10-02T00:00:00"/>
    <n v="21401772"/>
    <n v="20763465"/>
    <s v="O"/>
    <s v="PJ"/>
    <s v="Wait for Parts"/>
    <x v="51"/>
    <n v="2"/>
    <s v="6LK41561000"/>
    <s v="ROL-KIT-FC75 (PM KIT)"/>
    <n v="2"/>
    <d v="2026-10-05T00:00:00"/>
    <x v="2"/>
    <n v="957401"/>
    <n v="0"/>
    <s v="RECIBIDO POR YAZIRA SANTOS-SERVICENTRO"/>
  </r>
  <r>
    <s v="AYODORO LOPEZ, SAUL ISIDRO"/>
    <s v="ESTUDIO409S"/>
    <s v="701930210FL4M"/>
    <x v="24"/>
    <d v="2026-10-07T00:00:00"/>
    <n v="21436346"/>
    <n v="20791184"/>
    <s v="O"/>
    <s v="CQ"/>
    <s v="Down for Parts"/>
    <x v="52"/>
    <n v="1"/>
    <s v="41X2573S"/>
    <s v="Printhead"/>
    <n v="1"/>
    <d v="2026-10-07T00:00:00"/>
    <x v="3"/>
    <n v="957966"/>
    <n v="0"/>
    <s v="GUIA 3718269704 EN ESPERA DE SER RECOLECTADO 08 OCT"/>
  </r>
  <r>
    <s v="AYODORO LOPEZ, SAUL ISIDRO"/>
    <s v="ESTUDIO409S"/>
    <s v="701930210FL4M"/>
    <x v="24"/>
    <d v="2026-10-07T00:00:00"/>
    <n v="21436346"/>
    <n v="20791184"/>
    <s v="O"/>
    <s v="CQ"/>
    <s v="Down for Parts"/>
    <x v="52"/>
    <n v="1"/>
    <s v="41X2592S"/>
    <s v="HVPS"/>
    <n v="1"/>
    <d v="2026-10-07T00:00:00"/>
    <x v="3"/>
    <n v="957966"/>
    <n v="0"/>
    <s v="GUIA 3718269704 EN ESPERA DE SER RECOLECTADO 08 OCT"/>
  </r>
  <r>
    <s v="AYODORO LOPEZ, SAUL ISIDRO"/>
    <s v="ESTUDIO409S"/>
    <s v="701930210FL4M"/>
    <x v="24"/>
    <d v="2026-10-07T00:00:00"/>
    <n v="21436346"/>
    <n v="20791184"/>
    <s v="O"/>
    <s v="CQ"/>
    <s v="Down for Parts"/>
    <x v="52"/>
    <n v="1"/>
    <s v="41X2595S"/>
    <s v="CONTROL PANEL ASSY"/>
    <n v="1"/>
    <d v="2026-10-07T00:00:00"/>
    <x v="3"/>
    <n v="957966"/>
    <n v="0"/>
    <s v="GUIA 3718269704 EN ESPERA DE SER RECOLECTADO 08 OCT"/>
  </r>
  <r>
    <s v="AYODORO LOPEZ, SAUL ISIDRO"/>
    <s v="ESTUDIO409S"/>
    <s v="701930210FL4M"/>
    <x v="24"/>
    <d v="2026-10-07T00:00:00"/>
    <n v="21436346"/>
    <n v="20791184"/>
    <s v="O"/>
    <s v="CQ"/>
    <s v="Down for Parts"/>
    <x v="52"/>
    <n v="1"/>
    <s v="41X2976S"/>
    <s v="CONTROLLER BOARD"/>
    <n v="1"/>
    <d v="2026-10-07T00:00:00"/>
    <x v="3"/>
    <n v="957966"/>
    <n v="0"/>
    <s v="GUIA 3718269704 EN ESPERA DE SER RECOLECTADO 08 OCT"/>
  </r>
  <r>
    <s v="AYODORO LOPEZ, SAUL ISIDRO"/>
    <s v="ESTUDIO409S"/>
    <s v="701930210FL4M"/>
    <x v="24"/>
    <d v="2026-10-07T00:00:00"/>
    <n v="21436346"/>
    <n v="20791184"/>
    <s v="O"/>
    <s v="CQ"/>
    <s v="Down for Parts"/>
    <x v="52"/>
    <n v="1"/>
    <s v="41X2980"/>
    <s v="ADF AND SCANNER"/>
    <n v="1"/>
    <d v="2026-10-07T00:00:00"/>
    <x v="3"/>
    <n v="957966"/>
    <n v="0"/>
    <s v="GUIA 3718269704 EN ESPERA DE SER RECOLECTADO 08 OCT"/>
  </r>
  <r>
    <s v="BARAJAS VELAZQUEZ, GERARDO"/>
    <s v="ESTUDIO2822AM"/>
    <s v="CKEM25908"/>
    <x v="33"/>
    <d v="2026-10-01T00:00:00"/>
    <n v="21389100"/>
    <n v="20750618"/>
    <s v="A"/>
    <s v="EC"/>
    <s v="Wait for Parts"/>
    <x v="53"/>
    <n v="1"/>
    <s v="6LJ78116000S"/>
    <s v="HR-2505-U"/>
    <n v="1"/>
    <d v="2026-10-05T00:00:00"/>
    <x v="2"/>
    <n v="957412"/>
    <n v="0"/>
    <s v="CONSOLIDADOS EN OFICINAS GDL RECIBIDO POR FERNANDA GONZALEZ"/>
  </r>
  <r>
    <s v="BOLANOS CASTILLO, JULIO CESAR"/>
    <s v="ESTUDIO4525AC"/>
    <s v="CSCP40288"/>
    <x v="28"/>
    <d v="2026-09-15T00:00:00"/>
    <n v="21182372"/>
    <n v="20641377"/>
    <s v="A"/>
    <s v="NP"/>
    <s v="Down for Parts"/>
    <x v="54"/>
    <n v="1"/>
    <s v="6LL41225000S"/>
    <s v="HRNS-SCN-LED-K160"/>
    <n v="1"/>
    <d v="2026-09-15T00:00:00"/>
    <x v="2"/>
    <n v="955308"/>
    <n v="0"/>
    <s v="RECIBIDO POR JULIO CESAR BOLAÑOS"/>
  </r>
  <r>
    <s v="CARAVEZ LOPEZ, MIGUEL ALEJANDRO"/>
    <s v="ESTUDIO409S"/>
    <s v="7019145104MCW"/>
    <x v="31"/>
    <d v="2026-10-05T00:00:00"/>
    <n v="21420512"/>
    <n v="20778081"/>
    <s v="PC"/>
    <s v="EC"/>
    <s v="Wait for Parts"/>
    <x v="55"/>
    <n v="1"/>
    <s v="OD409W"/>
    <s v="E-STUDIO409S BLACK IMAGING UNIT - 40K"/>
    <n v="1"/>
    <d v="2026-10-07T00:00:00"/>
    <x v="2"/>
    <n v="957830"/>
    <n v="0"/>
    <s v="RECIBIDO POR MAX HERNANDEZ"/>
  </r>
  <r>
    <s v="CARAVEZ LOPEZ, MIGUEL ALEJANDRO"/>
    <s v="ESTUDIO478S"/>
    <s v="7018001308YC0"/>
    <x v="34"/>
    <d v="2026-10-06T00:00:00"/>
    <n v="21427356"/>
    <n v="20782111"/>
    <s v="V"/>
    <s v="EC"/>
    <s v="Wait for Parts"/>
    <x v="56"/>
    <n v="1"/>
    <s v="OD478SR"/>
    <s v="E-STUDIO478S RETURN PROGRAM BLACK IMAGING UNIT - 60K"/>
    <n v="1"/>
    <d v="2026-10-07T00:00:00"/>
    <x v="4"/>
    <n v="957832"/>
    <n v="0"/>
    <s v="GUIA 5003142760 ENTREGA ESTIMADA 15 OCT"/>
  </r>
  <r>
    <s v="CARAVEZ LOPEZ, MIGUEL ALEJANDRO"/>
    <s v="ESTUDIO478S"/>
    <s v="70180073097BW"/>
    <x v="34"/>
    <d v="2026-10-06T00:00:00"/>
    <n v="21426594"/>
    <n v="20781666"/>
    <s v="V"/>
    <s v="EC"/>
    <s v="Wait for Parts"/>
    <x v="57"/>
    <n v="1"/>
    <s v="OD478SR"/>
    <s v="E-STUDIO478S RETURN PROGRAM BLACK IMAGING UNIT - 60K"/>
    <n v="1"/>
    <d v="2026-10-07T00:00:00"/>
    <x v="2"/>
    <n v="957831"/>
    <n v="0"/>
    <s v="RECIBIDO POR EDITH GARCIA"/>
  </r>
  <r>
    <s v="CARAVEZ LOPEZ, MIGUEL ALEJANDRO"/>
    <s v="ESTUDIO478S"/>
    <s v="701824640K45L"/>
    <x v="34"/>
    <d v="2026-10-05T00:00:00"/>
    <n v="21420532"/>
    <n v="20778095"/>
    <s v="V"/>
    <s v="EC"/>
    <s v="Wait for Parts"/>
    <x v="58"/>
    <n v="1"/>
    <s v="OD478SR"/>
    <s v="E-STUDIO478S RETURN PROGRAM BLACK IMAGING UNIT - 60K"/>
    <n v="1"/>
    <d v="2026-10-06T00:00:00"/>
    <x v="2"/>
    <n v="957633"/>
    <n v="0"/>
    <s v="RECIBIDO POR ROCIO MRUIZ -CASA DE EMPENO"/>
  </r>
  <r>
    <s v="CORDOBA VELAZQUEZ, BULMARO"/>
    <s v="ESTUDIO2520AC"/>
    <s v="CSKN22456"/>
    <x v="35"/>
    <d v="2026-10-10T00:00:00"/>
    <n v="21459508"/>
    <n v="20807292"/>
    <s v="Q"/>
    <s v="CE"/>
    <s v="Wait for Parts"/>
    <x v="59"/>
    <n v="1"/>
    <s v="6LK49455000S"/>
    <s v="ASYB-PS-HVT-H370"/>
    <n v="0"/>
    <d v="2024-10-30T00:00:00"/>
    <x v="0"/>
    <m/>
    <n v="0"/>
    <m/>
  </r>
  <r>
    <s v="CORDOBA VELAZQUEZ, BULMARO"/>
    <s v="ESTUDIO478S"/>
    <s v="70180033096WF"/>
    <x v="34"/>
    <d v="2026-10-06T00:00:00"/>
    <n v="21430510"/>
    <n v="20784855"/>
    <s v="PC"/>
    <s v="EC"/>
    <s v="Wait for Parts"/>
    <x v="60"/>
    <n v="1"/>
    <s v="OD478SR"/>
    <s v="E-STUDIO478S RETURN PROGRAM BLACK IMAGING UNIT - 60K"/>
    <n v="1"/>
    <d v="2026-10-06T00:00:00"/>
    <x v="2"/>
    <n v="957809"/>
    <n v="0"/>
    <s v="RECIBIDO POR CRISTINA RAMIREZ"/>
  </r>
  <r>
    <s v="CORDOBA VELAZQUEZ, BULMARO"/>
    <s v="ESTUDIO478S"/>
    <s v="701800330970K"/>
    <x v="34"/>
    <d v="2026-10-05T00:00:00"/>
    <n v="21420482"/>
    <n v="20778478"/>
    <s v="A"/>
    <s v="EC"/>
    <s v="Wait for Parts"/>
    <x v="61"/>
    <n v="1"/>
    <s v="41X1224"/>
    <s v="MAIN DRIVE GEARBOX"/>
    <n v="1"/>
    <d v="2026-10-06T00:00:00"/>
    <x v="2"/>
    <n v="957667"/>
    <n v="0"/>
    <s v="RECIBIDO POR CORDOBA VELAZQUEZ BULMARO"/>
  </r>
  <r>
    <s v="ESPINOSA VAZQUEZ, GERARDO"/>
    <s v="ESTUDIO330AC"/>
    <s v="CRCP67440"/>
    <x v="36"/>
    <d v="2026-10-07T00:00:00"/>
    <n v="21437862"/>
    <n v="20790477"/>
    <s v="O"/>
    <s v="NS"/>
    <s v="Down for Parts"/>
    <x v="62"/>
    <n v="1"/>
    <s v="6LL15849000S"/>
    <s v="FUSER-FC330-120"/>
    <n v="1"/>
    <d v="2026-10-07T00:00:00"/>
    <x v="2"/>
    <n v="957939"/>
    <n v="0"/>
    <s v="RECIBIDO POR GERARDO ESPINOSA"/>
  </r>
  <r>
    <s v="ESPINOSA VAZQUEZ, GERARDO"/>
    <s v="ESTUDIO409S"/>
    <s v="7019207106D44"/>
    <x v="29"/>
    <d v="2026-10-06T00:00:00"/>
    <n v="21429434"/>
    <n v="20785459"/>
    <s v="A"/>
    <s v="EC"/>
    <s v="Wait for Parts"/>
    <x v="63"/>
    <n v="1"/>
    <s v="41X2595"/>
    <s v="CONTROL PANEL ASSY"/>
    <n v="1"/>
    <d v="2026-10-07T00:00:00"/>
    <x v="2"/>
    <n v="957843"/>
    <n v="0"/>
    <s v="RECIBIDO POR GERARDO ESPINOSA"/>
  </r>
  <r>
    <s v="ESPINOSA VAZQUEZ, GERARDO"/>
    <s v="ESTUDIO7516ACT"/>
    <s v="C1JM38375"/>
    <x v="2"/>
    <d v="2026-10-08T00:00:00"/>
    <n v="21391588"/>
    <n v="20797052"/>
    <s v="A"/>
    <s v="CQ"/>
    <s v="Wait for Parts"/>
    <x v="64"/>
    <n v="1"/>
    <s v="6LK42668000"/>
    <s v="ASY-FUSER-BELT-FC556 (FUSER BELT)"/>
    <n v="1"/>
    <d v="2026-10-08T00:00:00"/>
    <x v="3"/>
    <n v="958089"/>
    <n v="0"/>
    <s v="GUIA 1895738504 EN ESPERA DE SER RECOLECTAOD 09 OCT"/>
  </r>
  <r>
    <s v="ESQUIVEL SILVA, DAVID"/>
    <s v="ESTUDIO2010ACU"/>
    <s v="CNLH24187"/>
    <x v="17"/>
    <d v="2026-10-02T00:00:00"/>
    <n v="21396734"/>
    <n v="20757525"/>
    <s v="O"/>
    <s v="CQ"/>
    <s v="Wait for Parts"/>
    <x v="65"/>
    <n v="1"/>
    <s v="6LJ54025000S"/>
    <s v="GRID-CHARGR-MAIN-H21X (GRID)"/>
    <n v="1"/>
    <d v="2026-10-02T00:00:00"/>
    <x v="2"/>
    <s v="957256-957465-957357"/>
    <n v="0"/>
    <s v="957256-957357 RECIBIDO POR ANAHI HERNANDEZ-957465 RECIBIDO POR ANAHI HERNANDEZ"/>
  </r>
  <r>
    <s v="ESQUIVEL SILVA, DAVID"/>
    <s v="ESTUDIO2010ACU"/>
    <s v="CNLH24187"/>
    <x v="17"/>
    <d v="2026-10-02T00:00:00"/>
    <n v="21396734"/>
    <n v="20757525"/>
    <s v="O"/>
    <s v="CQ"/>
    <s v="Wait for Parts"/>
    <x v="65"/>
    <n v="1"/>
    <s v="6LJ70402200"/>
    <s v="OD-FC30N"/>
    <n v="1"/>
    <d v="2026-10-02T00:00:00"/>
    <x v="2"/>
    <s v="957256-957465-957357"/>
    <n v="0"/>
    <s v="957256-957357 RECIBIDO POR ANAHI HERNANDEZ-957465 RECIBIDO POR ANAHI HERNANDEZ"/>
  </r>
  <r>
    <s v="ESQUIVEL SILVA, DAVID"/>
    <s v="ESTUDIO2010ACU"/>
    <s v="CNLH24187"/>
    <x v="17"/>
    <d v="2026-10-02T00:00:00"/>
    <n v="21396734"/>
    <n v="20757525"/>
    <s v="O"/>
    <s v="CQ"/>
    <s v="Wait for Parts"/>
    <x v="65"/>
    <n v="1"/>
    <s v="6LJ70994200"/>
    <s v="D-FC30-C (DEVELOPER)"/>
    <n v="1"/>
    <d v="2026-10-02T00:00:00"/>
    <x v="2"/>
    <s v="957256-957465-957357"/>
    <n v="0"/>
    <s v="957256-957357 RECIBIDO POR ANAHI HERNANDEZ-957465 RECIBIDO POR ANAHI HERNANDEZ"/>
  </r>
  <r>
    <s v="ESQUIVEL SILVA, DAVID"/>
    <s v="ESTUDIO2010ACU"/>
    <s v="CNLH24187"/>
    <x v="17"/>
    <d v="2026-10-02T00:00:00"/>
    <n v="21396734"/>
    <n v="20757525"/>
    <s v="O"/>
    <s v="CQ"/>
    <s v="Wait for Parts"/>
    <x v="65"/>
    <n v="1"/>
    <s v="6LK49057100S"/>
    <s v="DEV-UNIT-H370-LC"/>
    <n v="1"/>
    <d v="2026-10-05T00:00:00"/>
    <x v="2"/>
    <s v="957256-957465-957357"/>
    <n v="0"/>
    <s v="957256-957357 RECIBIDO POR ANAHI HERNANDEZ-957465 RECIBIDO POR ANAHI HERNANDEZ"/>
  </r>
  <r>
    <s v="ESQUIVEL SILVA, DAVID"/>
    <s v="ESTUDIO2010ACU"/>
    <s v="CNLH24187"/>
    <x v="17"/>
    <d v="2026-10-02T00:00:00"/>
    <n v="21396734"/>
    <n v="20757525"/>
    <s v="O"/>
    <s v="CQ"/>
    <s v="Wait for Parts"/>
    <x v="65"/>
    <n v="1"/>
    <s v="6LK49077000"/>
    <s v="BL-FC200D (CLEANING BLADE)"/>
    <n v="1"/>
    <d v="2026-10-02T00:00:00"/>
    <x v="2"/>
    <s v="957256-957465-957357"/>
    <n v="0"/>
    <s v="957256-957357 RECIBIDO POR ANAHI HERNANDEZ-957465 RECIBIDO POR ANAHI HERNANDEZ"/>
  </r>
  <r>
    <s v="ESQUIVEL SILVA, DAVID"/>
    <s v="ESTUDIO409AS"/>
    <s v="701944840T8H8"/>
    <x v="37"/>
    <d v="2026-10-08T00:00:00"/>
    <n v="21420046"/>
    <n v="20796034"/>
    <s v="A"/>
    <s v="EC"/>
    <s v="Wait for Parts"/>
    <x v="66"/>
    <n v="1"/>
    <s v="OD409W"/>
    <s v="E-STUDIO409S BLACK IMAGING UNIT - 40K"/>
    <n v="1"/>
    <d v="2026-10-08T00:00:00"/>
    <x v="2"/>
    <n v="958083"/>
    <n v="0"/>
    <s v="CONSOLIDADOS EN OFICINAS MTY RECIBIDO POR SANDRA ESTRADA"/>
  </r>
  <r>
    <s v="FLORES PEREZ, JOSUE"/>
    <s v="ESTUDIO330AC"/>
    <s v="CRIQ87985"/>
    <x v="38"/>
    <d v="2026-10-06T00:00:00"/>
    <n v="21420476"/>
    <n v="20782157"/>
    <s v="O"/>
    <s v="EC"/>
    <s v="Wait for Parts"/>
    <x v="67"/>
    <n v="1"/>
    <s v="6LL01178000S"/>
    <s v="ASYB-PWA-SYS-H440S"/>
    <n v="1"/>
    <d v="2026-10-06T00:00:00"/>
    <x v="2"/>
    <n v="957745"/>
    <n v="0"/>
    <s v="RECIBIDO POR EUGENIA MORA"/>
  </r>
  <r>
    <s v="FLORES PEREZ, JOSUE"/>
    <s v="ESTUDIO409AS"/>
    <s v="701941340M46W"/>
    <x v="39"/>
    <d v="2026-10-07T00:00:00"/>
    <n v="21420466"/>
    <n v="20791087"/>
    <s v="PC"/>
    <s v="EC"/>
    <s v="Wait for Parts"/>
    <x v="68"/>
    <n v="1"/>
    <s v="50X0699S"/>
    <s v="Front door with MPF pick roller"/>
    <n v="1"/>
    <d v="2026-10-07T00:00:00"/>
    <x v="2"/>
    <n v="957968"/>
    <n v="0"/>
    <s v="RECIBIDO POR LETICIA SALGADO"/>
  </r>
  <r>
    <s v="FLORES PEREZ, JOSUE"/>
    <s v="ESTUDIO409AS"/>
    <s v="701941340M46W"/>
    <x v="39"/>
    <d v="2026-10-07T00:00:00"/>
    <n v="21420466"/>
    <n v="20791087"/>
    <s v="PC"/>
    <s v="EC"/>
    <s v="Wait for Parts"/>
    <x v="68"/>
    <n v="1"/>
    <s v="OD409W"/>
    <s v="E-STUDIO409S BLACK IMAGING UNIT - 40K"/>
    <n v="1"/>
    <d v="2026-10-07T00:00:00"/>
    <x v="2"/>
    <n v="957968"/>
    <n v="0"/>
    <s v="RECIBIDO POR LETICIA SALGADO"/>
  </r>
  <r>
    <s v="GARCIA LUCERO, JESUS DANIEL"/>
    <s v="ESTUDIO7527AC"/>
    <s v="S6DQ85783"/>
    <x v="2"/>
    <d v="2026-10-07T00:00:00"/>
    <n v="21434590"/>
    <n v="20787772"/>
    <s v="C"/>
    <s v="CE"/>
    <s v="Wait for Parts"/>
    <x v="69"/>
    <n v="3"/>
    <s v="6LJ06722000"/>
    <s v="GRID-CHARGR-MAIN-G (GRID)"/>
    <n v="3"/>
    <d v="2026-10-08T00:00:00"/>
    <x v="3"/>
    <n v="958126"/>
    <n v="0"/>
    <s v="GUIA 8941008775 EN ESPERA DE SER RECOLECTADO 09 OCT"/>
  </r>
  <r>
    <s v="GARZA DE LA CRUZ, GERARDO"/>
    <s v="ESTUDIO409AS"/>
    <s v="701942040MVCN"/>
    <x v="32"/>
    <d v="2026-10-10T00:00:00"/>
    <n v="21446520"/>
    <n v="20808958"/>
    <s v="A"/>
    <s v="EC"/>
    <s v="Wait for Parts"/>
    <x v="70"/>
    <n v="3"/>
    <s v="CHIP03J"/>
    <s v="CHIP UNIDAD DE IMAGEN 409/479"/>
    <n v="0"/>
    <d v="2026-10-09T00:00:00"/>
    <x v="0"/>
    <m/>
    <n v="0"/>
    <m/>
  </r>
  <r>
    <s v="GUERRERO LUNA, LUIS"/>
    <s v="ESTUDIO479S"/>
    <s v="7020413305K9V"/>
    <x v="40"/>
    <d v="2026-10-09T00:00:00"/>
    <n v="21441196"/>
    <n v="20800124"/>
    <s v="O"/>
    <s v="EC"/>
    <s v="Wait for Parts"/>
    <x v="71"/>
    <n v="1"/>
    <s v="OD449WR"/>
    <s v="E-STUDIO479S RETURN PROGRAM IMAGING UNIT"/>
    <n v="1"/>
    <d v="2026-10-09T00:00:00"/>
    <x v="2"/>
    <n v="958144"/>
    <n v="0"/>
    <s v="RECIBIDO POR LUIS GUERRERO"/>
  </r>
  <r>
    <s v="HERNANDEZ DOMINGUEZ, ANGEL ALFREDO"/>
    <s v="ESTUDIO478S"/>
    <s v="7018936306W2T"/>
    <x v="34"/>
    <d v="2026-10-06T00:00:00"/>
    <n v="21399238"/>
    <n v="20784619"/>
    <s v="O"/>
    <s v="PJ"/>
    <s v="Down for Parts"/>
    <x v="72"/>
    <n v="1"/>
    <s v="40X8800S"/>
    <s v="Media present sensor flag"/>
    <n v="1"/>
    <d v="2026-10-07T00:00:00"/>
    <x v="2"/>
    <n v="957940"/>
    <n v="0"/>
    <s v="RECIBIDO POR ANDRES LOPEZ"/>
  </r>
  <r>
    <s v="HERNANDEZ DOMINGUEZ, ANGEL ALFREDO"/>
    <s v="ESTUDIO478S"/>
    <s v="7018936306W2T"/>
    <x v="34"/>
    <d v="2026-10-06T00:00:00"/>
    <n v="21399238"/>
    <n v="20784619"/>
    <s v="O"/>
    <s v="PJ"/>
    <s v="Down for Parts"/>
    <x v="72"/>
    <n v="1"/>
    <s v="41X1184S"/>
    <s v="FRONT INPUT GUIDE"/>
    <n v="1"/>
    <d v="2026-10-07T00:00:00"/>
    <x v="2"/>
    <n v="957940"/>
    <n v="0"/>
    <s v="RECIBIDO POR ANDRES LOPEZ"/>
  </r>
  <r>
    <s v="HERNANDEZ DOMINGUEZ, ANGEL ALFREDO"/>
    <s v="ESTUDIO478S"/>
    <s v="7018936306W2T"/>
    <x v="34"/>
    <d v="2026-10-06T00:00:00"/>
    <n v="21399238"/>
    <n v="20784619"/>
    <s v="O"/>
    <s v="PJ"/>
    <s v="Down for Parts"/>
    <x v="72"/>
    <n v="1"/>
    <s v="41X1201S"/>
    <s v="POWER SUPPLY, 110V/110V"/>
    <n v="1"/>
    <d v="2026-10-07T00:00:00"/>
    <x v="2"/>
    <n v="957940"/>
    <n v="0"/>
    <s v="RECIBIDO POR ANDRES LOPEZ"/>
  </r>
  <r>
    <s v="HERNANDEZ DOMINGUEZ, ANGEL ALFREDO"/>
    <s v="ESTUDIO478S"/>
    <s v="7018936306W2T"/>
    <x v="34"/>
    <d v="2026-10-06T00:00:00"/>
    <n v="21399238"/>
    <n v="20784619"/>
    <s v="O"/>
    <s v="PJ"/>
    <s v="Down for Parts"/>
    <x v="72"/>
    <n v="1"/>
    <s v="41X1371S"/>
    <s v="REDRIVE ASSEMBLY"/>
    <n v="1"/>
    <d v="2026-10-07T00:00:00"/>
    <x v="2"/>
    <n v="957940"/>
    <n v="0"/>
    <s v="RECIBIDO POR ANDRES LOPEZ"/>
  </r>
  <r>
    <s v="HERNANDEZ DOMINGUEZ, ANGEL ALFREDO"/>
    <s v="ESTUDIO478S"/>
    <s v="7018936306W2T"/>
    <x v="34"/>
    <d v="2026-10-06T00:00:00"/>
    <n v="21399238"/>
    <n v="20784619"/>
    <s v="O"/>
    <s v="PJ"/>
    <s v="Down for Parts"/>
    <x v="72"/>
    <n v="1"/>
    <s v="41X2501S"/>
    <s v="SCANNER READ COVER"/>
    <n v="1"/>
    <d v="2026-10-07T00:00:00"/>
    <x v="2"/>
    <n v="957940"/>
    <n v="0"/>
    <s v="RECIBIDO POR ANDRES LOPEZ"/>
  </r>
  <r>
    <s v="HERNANDEZ MARTINEZ, GERMAN"/>
    <s v="ESTUDIO479S"/>
    <s v="70204113056V9"/>
    <x v="34"/>
    <d v="2026-10-06T00:00:00"/>
    <n v="21398830"/>
    <n v="20785039"/>
    <s v="O"/>
    <s v="EC"/>
    <s v="Wait for Parts"/>
    <x v="73"/>
    <n v="1"/>
    <s v="OD449WR"/>
    <s v="E-STUDIO479S RETURN PROGRAM IMAGING UNIT"/>
    <n v="1"/>
    <d v="2026-10-07T00:00:00"/>
    <x v="2"/>
    <n v="957829"/>
    <n v="0"/>
    <s v="RECIBIDO POR DIANA LUIS-MOSTRADOR"/>
  </r>
  <r>
    <s v="MARTINEZ VIDAL, EDGAR"/>
    <s v="ESTUDIO7516AC"/>
    <s v="C1LM40009"/>
    <x v="2"/>
    <d v="2026-10-07T00:00:00"/>
    <n v="21427244"/>
    <n v="20792303"/>
    <s v="O"/>
    <s v="EC"/>
    <s v="Wait for Parts"/>
    <x v="74"/>
    <n v="1"/>
    <s v="6LH02811000S"/>
    <s v="SPG-E-GRID"/>
    <n v="1"/>
    <d v="2026-10-09T00:00:00"/>
    <x v="2"/>
    <n v="958145"/>
    <n v="0"/>
    <s v="RECIBIDO POR EDGAR MARTINEZ VIDAL"/>
  </r>
  <r>
    <s v="MARTINEZ VIDAL, EDGAR"/>
    <s v="ESTUDIO7516AC"/>
    <s v="C1LM40009"/>
    <x v="2"/>
    <d v="2026-10-07T00:00:00"/>
    <n v="21427244"/>
    <n v="20792303"/>
    <s v="O"/>
    <s v="EC"/>
    <s v="Wait for Parts"/>
    <x v="74"/>
    <n v="1"/>
    <s v="6LJ06722000"/>
    <s v="GRID-CHARGR-MAIN-G (GRID)"/>
    <n v="1"/>
    <d v="2026-10-09T00:00:00"/>
    <x v="2"/>
    <n v="958145"/>
    <n v="0"/>
    <s v="RECIBIDO POR EDGAR MARTINEZ VIDAL"/>
  </r>
  <r>
    <s v="MARTINEZ VIDAL, EDGAR"/>
    <s v="ESTUDIO7516AC"/>
    <s v="C1LM40009"/>
    <x v="2"/>
    <d v="2026-10-07T00:00:00"/>
    <n v="21427244"/>
    <n v="20792303"/>
    <s v="O"/>
    <s v="EC"/>
    <s v="Wait for Parts"/>
    <x v="74"/>
    <n v="1"/>
    <s v="6LK40587000"/>
    <s v="PIN-ARRAY-CHARGR-MAIN-38X (PIN)"/>
    <n v="1"/>
    <d v="2026-10-09T00:00:00"/>
    <x v="2"/>
    <n v="958145"/>
    <n v="0"/>
    <s v="RECIBIDO POR EDGAR MARTINEZ VIDAL"/>
  </r>
  <r>
    <s v="MARTINEZ VIDAL, EDGAR"/>
    <s v="ESTUDIO7516AC"/>
    <s v="C1LM40009"/>
    <x v="2"/>
    <d v="2026-10-07T00:00:00"/>
    <n v="21427244"/>
    <n v="20792303"/>
    <s v="O"/>
    <s v="EC"/>
    <s v="Wait for Parts"/>
    <x v="74"/>
    <n v="1"/>
    <s v="6LK43607100S"/>
    <s v="D-FC556-M"/>
    <n v="1"/>
    <d v="2026-10-09T00:00:00"/>
    <x v="2"/>
    <n v="958145"/>
    <n v="0"/>
    <s v="RECIBIDO POR EDGAR MARTINEZ VIDAL"/>
  </r>
  <r>
    <s v="MARTINEZ VIDAL, EDGAR"/>
    <s v="ESTUDIO7516AC"/>
    <s v="C1LM40009"/>
    <x v="2"/>
    <d v="2026-10-07T00:00:00"/>
    <n v="21427244"/>
    <n v="20792303"/>
    <s v="O"/>
    <s v="EC"/>
    <s v="Wait for Parts"/>
    <x v="74"/>
    <n v="1"/>
    <s v="6LL48479000"/>
    <s v="LOCK-EJECT-F (LOCK)"/>
    <n v="1"/>
    <d v="2026-10-09T00:00:00"/>
    <x v="2"/>
    <n v="958145"/>
    <n v="0"/>
    <s v="RECIBIDO POR EDGAR MARTINEZ VIDAL"/>
  </r>
  <r>
    <s v="MENDEZ ESPINOZA, CESAR"/>
    <s v="ESTUDIO409S"/>
    <s v="701923610B7GW"/>
    <x v="29"/>
    <d v="2026-10-07T00:00:00"/>
    <n v="21439342"/>
    <n v="20790662"/>
    <s v="PC"/>
    <s v="EC"/>
    <s v="Wait for Parts"/>
    <x v="75"/>
    <n v="1"/>
    <s v="OD409W"/>
    <s v="E-STUDIO409S BLACK IMAGING UNIT - 40K"/>
    <n v="1"/>
    <d v="2026-10-07T00:00:00"/>
    <x v="2"/>
    <n v="957978"/>
    <n v="0"/>
    <s v="RECIBIDO POR JOSE LARA"/>
  </r>
  <r>
    <s v="MENDEZ ESPINOZA, CESAR"/>
    <s v="ESTUDIO409S"/>
    <s v="701930810FXHX"/>
    <x v="4"/>
    <d v="2026-10-05T00:00:00"/>
    <n v="21420558"/>
    <n v="20778102"/>
    <s v="V"/>
    <s v="EC"/>
    <s v="Wait for Parts"/>
    <x v="76"/>
    <n v="1"/>
    <s v="OD409W"/>
    <s v="E-STUDIO409S BLACK IMAGING UNIT - 40K"/>
    <n v="1"/>
    <d v="2026-10-06T00:00:00"/>
    <x v="2"/>
    <n v="957664"/>
    <n v="0"/>
    <s v="RECIBIDO POR ERNESTO RAMIREZ"/>
  </r>
  <r>
    <s v="MENDEZ ESPINOZA, CESAR"/>
    <s v="ESTUDIO478S"/>
    <s v="701800330970T"/>
    <x v="34"/>
    <d v="2026-10-05T00:00:00"/>
    <n v="21420520"/>
    <n v="20778089"/>
    <s v="V"/>
    <s v="EC"/>
    <s v="Wait for Parts"/>
    <x v="77"/>
    <n v="1"/>
    <s v="OD478SR"/>
    <s v="E-STUDIO478S RETURN PROGRAM BLACK IMAGING UNIT - 60K"/>
    <n v="1"/>
    <d v="2026-10-06T00:00:00"/>
    <x v="2"/>
    <n v="957663"/>
    <n v="0"/>
    <s v="RECIBIDO POR JORGE AVILA"/>
  </r>
  <r>
    <s v="MENDOZA MARTINEZ, DAVID ULISES"/>
    <s v="ESTUDIO7527ACT"/>
    <s v="C6EN11480"/>
    <x v="2"/>
    <d v="2026-09-28T00:00:00"/>
    <n v="21342796"/>
    <n v="20722765"/>
    <s v="O"/>
    <s v="EC"/>
    <s v="Wait for Parts"/>
    <x v="78"/>
    <n v="1"/>
    <s v="6LJ07912000"/>
    <s v="RAIL-FEED-H13X (RAIL)"/>
    <n v="1"/>
    <d v="2026-10-01T00:00:00"/>
    <x v="2"/>
    <n v="957025"/>
    <n v="0"/>
    <s v="GESTIONA MTY RECIBIDO POR DAVID ULISES"/>
  </r>
  <r>
    <s v="MUNOZ RAMOS, CUAUHTEMOC"/>
    <s v="ESTUDIO7516ACT"/>
    <s v="C1KM39148"/>
    <x v="16"/>
    <d v="2026-10-08T00:00:00"/>
    <n v="21438814"/>
    <n v="20796638"/>
    <s v="A"/>
    <s v="PJ"/>
    <s v="Down for Parts"/>
    <x v="79"/>
    <n v="1"/>
    <s v="6LK39446000"/>
    <s v="THRMST-HTR-H380 (THERMISTAT ASSEMBLY)"/>
    <n v="1"/>
    <d v="2026-10-08T00:00:00"/>
    <x v="4"/>
    <n v="958099"/>
    <n v="0"/>
    <s v="GUIA 8940963555 ENTREGA ESTIMADA 09 OCT"/>
  </r>
  <r>
    <s v="MUNOZ RAMOS, CUAUHTEMOC"/>
    <s v="ESTUDIO7516ACT"/>
    <s v="C1KM39148"/>
    <x v="16"/>
    <d v="2026-10-08T00:00:00"/>
    <n v="21438814"/>
    <n v="20796638"/>
    <s v="A"/>
    <s v="PJ"/>
    <s v="Down for Parts"/>
    <x v="79"/>
    <n v="1"/>
    <s v="6LK54293000"/>
    <s v="KIT-ROL-DSDF (PM KIT)"/>
    <n v="1"/>
    <d v="2026-10-08T00:00:00"/>
    <x v="4"/>
    <n v="958099"/>
    <n v="0"/>
    <s v="GUIA 8940963555 ENTREGA ESTIMADA 09 OCT"/>
  </r>
  <r>
    <s v="MUNOZ RAMOS, CUAUHTEMOC"/>
    <s v="ESTUDIO7516ACT"/>
    <s v="C1KM39148"/>
    <x v="16"/>
    <d v="2026-10-08T00:00:00"/>
    <n v="21438814"/>
    <n v="20796638"/>
    <s v="A"/>
    <s v="PJ"/>
    <s v="Down for Parts"/>
    <x v="79"/>
    <n v="1"/>
    <s v="6LK73139000"/>
    <s v="THMS-HTR-H380 (THERMISTOR)"/>
    <n v="1"/>
    <d v="2026-10-08T00:00:00"/>
    <x v="4"/>
    <n v="958099"/>
    <n v="0"/>
    <s v="GUIA 8940963555 ENTREGA ESTIMADA 09 OCT"/>
  </r>
  <r>
    <s v="PEREZ DIAZ, JUAN MANUEL"/>
    <s v="ESTUDIO400AC"/>
    <s v="CRJM41817"/>
    <x v="41"/>
    <d v="2026-10-02T00:00:00"/>
    <n v="21391170"/>
    <n v="20759649"/>
    <s v="A"/>
    <s v="EC"/>
    <s v="Down for Parts"/>
    <x v="80"/>
    <n v="1"/>
    <s v="6LL10719000S"/>
    <s v="ASY-HOME-SNR-FB"/>
    <n v="1"/>
    <d v="2026-10-07T00:00:00"/>
    <x v="2"/>
    <n v="957900"/>
    <n v="0"/>
    <s v="RECIBIDO POR JAN MANUEL PEREZ"/>
  </r>
  <r>
    <s v="PEREZ DIAZ, JUAN MANUEL"/>
    <s v="ESTUDIO400AC"/>
    <s v="CRJM41817"/>
    <x v="41"/>
    <d v="2026-10-02T00:00:00"/>
    <n v="21391170"/>
    <n v="20759649"/>
    <s v="A"/>
    <s v="EC"/>
    <s v="Down for Parts"/>
    <x v="80"/>
    <n v="1"/>
    <s v="6LL10722000S"/>
    <s v="ASY-TRANSMISSION-FB"/>
    <n v="1"/>
    <d v="2026-10-07T00:00:00"/>
    <x v="2"/>
    <n v="957900"/>
    <n v="0"/>
    <s v="RECIBIDO POR JAN MANUEL PEREZ"/>
  </r>
  <r>
    <s v="SERAPIO GARCIA, JULIO CESAR"/>
    <s v="ESTUDIO478S"/>
    <s v="70180033096X7"/>
    <x v="34"/>
    <d v="2026-10-08T00:00:00"/>
    <n v="21440118"/>
    <n v="20794983"/>
    <s v="O"/>
    <s v="PJ"/>
    <s v="Wait for Parts"/>
    <x v="81"/>
    <n v="1"/>
    <s v="41X1178"/>
    <s v="FUSER 110V"/>
    <n v="1"/>
    <d v="2026-10-08T00:00:00"/>
    <x v="3"/>
    <n v="958039"/>
    <n v="0"/>
    <s v="GUIA 2079222880 EN ESPERA DE SER RECOLECTADO 09 OCT"/>
  </r>
  <r>
    <s v="TREJO AGUILAR, JOSE RODRIGO"/>
    <s v="ESTUDIO2018AU"/>
    <s v="CZCJ46926"/>
    <x v="42"/>
    <d v="2026-10-07T00:00:00"/>
    <n v="21428604"/>
    <n v="20785587"/>
    <s v="A"/>
    <s v="EC"/>
    <s v="Wait for Parts"/>
    <x v="82"/>
    <n v="1"/>
    <s v="G0-00732000S"/>
    <s v="MQ01ABU032W * (HARD DISK DRIVE 320GB TSB)"/>
    <n v="1"/>
    <d v="2026-10-07T00:00:00"/>
    <x v="2"/>
    <n v="957891"/>
    <n v="0"/>
    <s v="CONSOLIDADOS EN OFICINAS GDL RECIBIDO POR VICTOR MIRAMONTES"/>
  </r>
  <r>
    <s v="TREJO AGUILAR, JOSE RODRIGO"/>
    <s v="ESTUDIO3005ACU"/>
    <s v="CFJF61642"/>
    <x v="43"/>
    <d v="2026-10-11T00:00:00"/>
    <n v="21437918"/>
    <n v="20811561"/>
    <s v="O"/>
    <s v="PJ"/>
    <s v="Wait for Parts"/>
    <x v="83"/>
    <n v="1"/>
    <s v="6LE49877000"/>
    <s v="ASYS-ROL-RET-RU (ROLLER ASSEMBLY)"/>
    <n v="0"/>
    <d v="2026-10-07T00:00:00"/>
    <x v="0"/>
    <m/>
    <n v="0"/>
    <m/>
  </r>
  <r>
    <s v="TREJO AGUILAR, JOSE RODRIGO"/>
    <s v="ESTUDIO3005ACU"/>
    <s v="CFJF61642"/>
    <x v="43"/>
    <d v="2026-10-11T00:00:00"/>
    <n v="21437918"/>
    <n v="20811561"/>
    <s v="O"/>
    <s v="PJ"/>
    <s v="Wait for Parts"/>
    <x v="83"/>
    <n v="1"/>
    <s v="6LE50297000"/>
    <s v="ROLLER ASSEMBLY"/>
    <n v="0"/>
    <d v="2026-10-07T00:00:00"/>
    <x v="0"/>
    <m/>
    <n v="0"/>
    <m/>
  </r>
  <r>
    <s v="TREJO AGUILAR, JOSE RODRIGO"/>
    <s v="ESTUDIO409AS"/>
    <s v="701935140KMXM"/>
    <x v="17"/>
    <d v="2026-10-06T00:00:00"/>
    <n v="21416662"/>
    <n v="20781859"/>
    <s v="PC"/>
    <s v="EC"/>
    <s v="Wait for Parts"/>
    <x v="84"/>
    <n v="1"/>
    <s v="OD409W"/>
    <s v="E-STUDIO409S BLACK IMAGING UNIT - 40K"/>
    <n v="1"/>
    <d v="2026-10-06T00:00:00"/>
    <x v="2"/>
    <n v="957715"/>
    <n v="0"/>
    <s v="CONSOLIDADOS EN OFICINAS GDL RECIBIDO POR JAIME PEREZ"/>
  </r>
  <r>
    <s v="RODRIGUEZ RODRIGUEZ, JOSUE ROBERTO"/>
    <s v="ESTUDIO409AS"/>
    <s v="701935140KN5D"/>
    <x v="44"/>
    <d v="2026-10-06T00:00:00"/>
    <n v="21367838"/>
    <n v="20785303"/>
    <s v="O"/>
    <s v="EC"/>
    <s v="Wait for Parts"/>
    <x v="85"/>
    <n v="1"/>
    <s v="50X0699S"/>
    <s v="Front door with MPF pick roller"/>
    <n v="1"/>
    <d v="2026-10-07T00:00:00"/>
    <x v="2"/>
    <n v="957844"/>
    <n v="0"/>
    <s v="CONSOLIDADOS EN OFICINAS MTY RECIBIDO POR SANDRA ESTRADA"/>
  </r>
  <r>
    <s v="RODRIGUEZ RODRIGUEZ, JOSUE ROBERTO"/>
    <s v="ESTUDIO7527ACT"/>
    <s v="C6KN12742"/>
    <x v="45"/>
    <d v="2026-10-06T00:00:00"/>
    <n v="21423492"/>
    <n v="20783098"/>
    <s v="O"/>
    <s v="CQ"/>
    <s v="Wait for Parts"/>
    <x v="86"/>
    <n v="1"/>
    <s v="6LH02725000"/>
    <s v="GRID-CHARGR-MAIN-430"/>
    <n v="1"/>
    <d v="2026-10-09T00:00:00"/>
    <x v="2"/>
    <n v="958151"/>
    <n v="0"/>
    <s v="CONSOLIDADOS EN OFICINAS MTY RECIBIDO POR SANDRA ESTRADA"/>
  </r>
  <r>
    <s v="RODRIGUEZ RODRIGUEZ, JOSUE ROBERTO"/>
    <s v="ESTUDIO7527ACT"/>
    <s v="C6KN12742"/>
    <x v="45"/>
    <d v="2026-10-06T00:00:00"/>
    <n v="21423492"/>
    <n v="20783098"/>
    <s v="O"/>
    <s v="CQ"/>
    <s v="Wait for Parts"/>
    <x v="86"/>
    <n v="1"/>
    <s v="6LK40608000"/>
    <s v="BL-FC556D (BLADE)"/>
    <n v="1"/>
    <d v="2026-10-09T00:00:00"/>
    <x v="2"/>
    <n v="958151"/>
    <n v="0"/>
    <s v="CONSOLIDADOS EN OFICINAS MTY RECIBIDO POR SANDRA ESTRADA"/>
  </r>
  <r>
    <s v="RODRIGUEZ RODRIGUEZ, JOSUE ROBERTO"/>
    <s v="ESTUDIO7527ACT"/>
    <s v="C6KN12742"/>
    <x v="45"/>
    <d v="2026-10-06T00:00:00"/>
    <n v="21423492"/>
    <n v="20783098"/>
    <s v="O"/>
    <s v="CQ"/>
    <s v="Wait for Parts"/>
    <x v="86"/>
    <n v="1"/>
    <s v="6LK54189000"/>
    <s v="ASYS-ROL-RETARD (ROLLER ASSEMBLY)"/>
    <n v="1"/>
    <d v="2026-10-09T00:00:00"/>
    <x v="2"/>
    <n v="958151"/>
    <n v="0"/>
    <s v="CONSOLIDADOS EN OFICINAS MTY RECIBIDO POR SANDRA ESTRADA"/>
  </r>
  <r>
    <s v="RODRIGUEZ RODRIGUEZ, JOSUE ROBERTO"/>
    <s v="ESTUDIO7527ACT"/>
    <s v="C6KN12742"/>
    <x v="45"/>
    <d v="2026-10-06T00:00:00"/>
    <n v="21423492"/>
    <n v="20783098"/>
    <s v="O"/>
    <s v="CQ"/>
    <s v="Wait for Parts"/>
    <x v="86"/>
    <n v="1"/>
    <s v="6LK56800000"/>
    <s v="ASYS-ROL-FEED (ROLLER ASSEMBLY)"/>
    <n v="1"/>
    <d v="2026-10-09T00:00:00"/>
    <x v="2"/>
    <n v="958151"/>
    <n v="0"/>
    <s v="CONSOLIDADOS EN OFICINAS MTY RECIBIDO POR SANDRA ESTRADA"/>
  </r>
  <r>
    <s v="RODRIGUEZ RODRIGUEZ, JOSUE ROBERTO"/>
    <s v="ESTUDIO7527ACT"/>
    <s v="C6KN12742"/>
    <x v="45"/>
    <d v="2026-10-06T00:00:00"/>
    <n v="21423492"/>
    <n v="20783098"/>
    <s v="O"/>
    <s v="CQ"/>
    <s v="Wait for Parts"/>
    <x v="86"/>
    <n v="1"/>
    <s v="6LK56966000S"/>
    <s v="ASYS-ROL-PICKUP-S20"/>
    <n v="1"/>
    <d v="2026-10-09T00:00:00"/>
    <x v="2"/>
    <n v="958151"/>
    <n v="0"/>
    <s v="CONSOLIDADOS EN OFICINAS MTY RECIBIDO POR SANDRA ESTRADA"/>
  </r>
  <r>
    <s v="RODRIGUEZ RODRIGUEZ, JOSUE ROBERTO"/>
    <s v="ESTUDIO9029A"/>
    <s v="S8LN81654"/>
    <x v="8"/>
    <d v="2026-10-05T00:00:00"/>
    <n v="21393026"/>
    <n v="20778178"/>
    <s v="O"/>
    <s v="CQ"/>
    <s v="Wait for Parts"/>
    <x v="87"/>
    <n v="1"/>
    <s v="6LH03981000"/>
    <s v="BELT-TBU-G-F43X"/>
    <n v="1"/>
    <d v="2026-10-06T00:00:00"/>
    <x v="2"/>
    <s v="957733-957734"/>
    <n v="0"/>
    <s v="957733 GESTIONA MTY RECIBIDO POR JOSUE RODRIGUEZ-957734 GESTIONA PARTES CONSOLIDADOS EN OFICINAS MTY RECIBIDO POR MAURICIO SALDANA"/>
  </r>
  <r>
    <s v="RODRIGUEZ RODRIGUEZ, JOSUE ROBERTO"/>
    <s v="ESTUDIO9029A"/>
    <s v="S8LN81654"/>
    <x v="8"/>
    <d v="2026-10-05T00:00:00"/>
    <n v="21393026"/>
    <n v="20778178"/>
    <s v="O"/>
    <s v="CQ"/>
    <s v="Wait for Parts"/>
    <x v="87"/>
    <n v="1"/>
    <s v="6LK40607000"/>
    <s v="OD-FC556"/>
    <n v="0"/>
    <d v="2026-10-06T00:00:00"/>
    <x v="2"/>
    <s v="957733-957734"/>
    <n v="0"/>
    <s v="957733 GESTIONA MTY RECIBIDO POR JOSUE RODRIGUEZ-957734 GESTIONA PARTES CONSOLIDADOS EN OFICINAS MTY RECIBIDO POR MAURICIO SALDANA"/>
  </r>
  <r>
    <s v="RODRIGUEZ RODRIGUEZ, JOSUE ROBERTO"/>
    <s v="ESTUDIO9029A"/>
    <s v="S8LN81654"/>
    <x v="8"/>
    <d v="2026-10-05T00:00:00"/>
    <n v="21393026"/>
    <n v="20778178"/>
    <s v="O"/>
    <s v="CQ"/>
    <s v="Wait for Parts"/>
    <x v="87"/>
    <n v="1"/>
    <s v="6LK40608000"/>
    <s v="BL-FC556D (BLADE)"/>
    <n v="1"/>
    <d v="2026-10-06T00:00:00"/>
    <x v="2"/>
    <s v="957733-957734"/>
    <n v="0"/>
    <s v="957733 GESTIONA MTY RECIBIDO POR JOSUE RODRIGUEZ-957734 GESTIONA PARTES CONSOLIDADOS EN OFICINAS MTY RECIBIDO POR MAURICIO SALDANA"/>
  </r>
  <r>
    <s v="RODRIGUEZ RODRIGUEZ, JOSUE ROBERTO"/>
    <s v="ESTUDIO9029A"/>
    <s v="S8LN81654"/>
    <x v="8"/>
    <d v="2026-10-05T00:00:00"/>
    <n v="21393026"/>
    <n v="20778178"/>
    <s v="O"/>
    <s v="CQ"/>
    <s v="Wait for Parts"/>
    <x v="87"/>
    <n v="1"/>
    <s v="6LL48460000"/>
    <s v="KIT-ROL-MR-4010 (PERIODICAL MAINTENANCE KIT (KIT-ROL-DSDF))"/>
    <n v="1"/>
    <d v="2026-10-06T00:00:00"/>
    <x v="2"/>
    <s v="957733-957734"/>
    <n v="0"/>
    <s v="957733 GESTIONA MTY RECIBIDO POR JOSUE RODRIGUEZ-957734 GESTIONA PARTES CONSOLIDADOS EN OFICINAS MTY RECIBIDO POR MAURICIO SALDANA"/>
  </r>
  <r>
    <s v="RODRIGUEZ RODRIGUEZ, JOSUE ROBERTO"/>
    <s v="ESTUDIO9029A"/>
    <s v="S8LN81654"/>
    <x v="8"/>
    <d v="2026-10-05T00:00:00"/>
    <n v="21393026"/>
    <n v="20778178"/>
    <s v="O"/>
    <s v="CQ"/>
    <s v="Wait for Parts"/>
    <x v="87"/>
    <n v="2"/>
    <s v="6LH02725000"/>
    <s v="GRID-CHARGR-MAIN-430"/>
    <n v="2"/>
    <d v="2026-10-06T00:00:00"/>
    <x v="2"/>
    <s v="957733-957734"/>
    <n v="0"/>
    <s v="957733 GESTIONA MTY RECIBIDO POR JOSUE RODRIGUEZ-957734 GESTIONA PARTES CONSOLIDADOS EN OFICINAS MTY RECIBIDO POR MAURICIO SALDANA"/>
  </r>
  <r>
    <s v="MANZO VAZQUEZ, CESAR EDUARDO"/>
    <s v="ESTUDIO330AC"/>
    <s v="CRCP67446"/>
    <x v="19"/>
    <d v="2026-10-07T00:00:00"/>
    <n v="21430276"/>
    <n v="20788467"/>
    <s v="P"/>
    <s v="PM"/>
    <s v="Wait for Parts"/>
    <x v="88"/>
    <n v="1"/>
    <s v="6LK49015000"/>
    <s v="OD-FC505 K (DRUM)"/>
    <n v="1"/>
    <d v="2026-10-08T00:00:00"/>
    <x v="2"/>
    <n v="958102"/>
    <n v="0"/>
    <s v="RECIBIDO POR MARIELA AVILA"/>
  </r>
  <r>
    <s v="GARCIA RUIZ, ROBERTO"/>
    <s v="ESTUDIO2822AM"/>
    <s v="CKDN30259"/>
    <x v="46"/>
    <d v="2026-10-06T00:00:00"/>
    <n v="21393628"/>
    <n v="20782994"/>
    <s v="A"/>
    <s v="CQ"/>
    <s v="Dispatch"/>
    <x v="89"/>
    <n v="1"/>
    <s v="6LJ78116000"/>
    <s v="HR-2505-U (HEAT ROLLER ASSEMBLY UPPER)"/>
    <n v="1"/>
    <d v="2026-10-07T00:00:00"/>
    <x v="2"/>
    <n v="957833"/>
    <n v="0"/>
    <s v="RECIBIDO POR ROBERTO GARCIA RUIZ"/>
  </r>
  <r>
    <s v="AVILA LOPEZ, JORGE ANTONIO"/>
    <s v="ESTUDIO2520AC"/>
    <s v="CSJM21187,"/>
    <x v="16"/>
    <d v="2026-10-08T00:00:00"/>
    <n v="21438682"/>
    <n v="20796873"/>
    <s v="A"/>
    <s v="NP"/>
    <s v="Down for Parts"/>
    <x v="90"/>
    <n v="1"/>
    <s v="6LL41340000"/>
    <s v="**CH-6LL41518000; ASYB-PWA-SYS-K160S"/>
    <n v="1"/>
    <d v="2026-10-08T00:00:00"/>
    <x v="4"/>
    <n v="958095"/>
    <n v="0"/>
    <s v="GUIA 1895685794 ENTREGA ESTIMADA 09 OCT"/>
  </r>
  <r>
    <s v="BAUTISTA VAZQUEZ, BRAYAN OMAR"/>
    <s v="ESTUDIO479S"/>
    <s v="70204092052LM"/>
    <x v="37"/>
    <d v="2026-10-06T00:00:00"/>
    <n v="21420076"/>
    <n v="20780679"/>
    <s v="PC"/>
    <s v="EC"/>
    <s v="Wait for Parts"/>
    <x v="91"/>
    <n v="1"/>
    <s v="OD449WR"/>
    <s v="E-STUDIO479S RETURN PROGRAM IMAGING UNIT"/>
    <n v="1"/>
    <d v="2026-10-07T00:00:00"/>
    <x v="3"/>
    <n v="957839"/>
    <n v="0"/>
    <s v="GUIA 7856750451 EN ESPERA DE SER RECOELCTADO 08 OCT"/>
  </r>
  <r>
    <s v="DAVALOS GARCIA, HECTOR ALBERTO"/>
    <s v="ESTUDIO409S"/>
    <s v="7019138103VBG"/>
    <x v="47"/>
    <d v="2026-10-07T00:00:00"/>
    <n v="21439494"/>
    <n v="20791552"/>
    <s v="PC"/>
    <s v="EC"/>
    <s v="Wait for Parts"/>
    <x v="92"/>
    <n v="1"/>
    <s v="OD409W"/>
    <s v="E-STUDIO409S BLACK IMAGING UNIT - 40K"/>
    <n v="1"/>
    <d v="2026-10-08T00:00:00"/>
    <x v="2"/>
    <n v="957950"/>
    <n v="0"/>
    <s v="GESTIONA GDL RECIBIDO POR AMERICA TAPIA VENTAS"/>
  </r>
  <r>
    <s v="DAVALOS GARCIA, HECTOR ALBERTO"/>
    <s v="ESTUDIO479S"/>
    <s v="7020413305KFV"/>
    <x v="48"/>
    <d v="2026-10-07T00:00:00"/>
    <n v="21439118"/>
    <n v="20791551"/>
    <s v="PC"/>
    <s v="EC"/>
    <s v="Wait for Parts"/>
    <x v="93"/>
    <n v="1"/>
    <s v="OD449WR"/>
    <s v="E-STUDIO479S RETURN PROGRAM IMAGING UNIT"/>
    <n v="1"/>
    <d v="2026-10-08T00:00:00"/>
    <x v="2"/>
    <n v="957951"/>
    <n v="0"/>
    <s v="GESTIONA GDL RECIBIDO POR CA SALAZAR"/>
  </r>
  <r>
    <s v="REBELEZ GARZA, JOSE MANUEL"/>
    <s v="ESTUDIO2520AC"/>
    <s v="CSLM26867"/>
    <x v="49"/>
    <d v="2026-09-25T00:00:00"/>
    <n v="21284802"/>
    <n v="20707084"/>
    <s v="O"/>
    <s v="BP"/>
    <s v="Wait For Time"/>
    <x v="94"/>
    <n v="3"/>
    <s v="6LJ70402200"/>
    <s v="OD-FC30N"/>
    <n v="3"/>
    <d v="2026-09-29T00:00:00"/>
    <x v="2"/>
    <n v="956751"/>
    <n v="0"/>
    <s v="CONSOLIDADOS EN OFICINAS MTY RECIBIDO POR SANDRA ESTRADA"/>
  </r>
  <r>
    <s v="REBELEZ GARZA, JOSE MANUEL"/>
    <s v="ESTUDIO2520AC"/>
    <s v="CSLM26867"/>
    <x v="49"/>
    <d v="2026-09-25T00:00:00"/>
    <n v="21284802"/>
    <n v="20707084"/>
    <s v="O"/>
    <s v="BP"/>
    <s v="Wait For Time"/>
    <x v="95"/>
    <n v="3"/>
    <s v="6LK49077000"/>
    <s v="BL-FC200D (CLEANING BLADE)"/>
    <n v="3"/>
    <d v="2026-09-29T00:00:00"/>
    <x v="2"/>
    <n v="956734"/>
    <n v="0"/>
    <s v="CONSOLIDADOS EN OFICINAS MTY RECIBIDO POR SANDRA ESTRADA"/>
  </r>
  <r>
    <s v="REBELEZ GARZA, JOSE MANUEL"/>
    <s v="ESTUDIO2520AC"/>
    <s v="CSLM26867"/>
    <x v="49"/>
    <d v="2026-09-25T00:00:00"/>
    <n v="21284802"/>
    <n v="20707084"/>
    <s v="O"/>
    <s v="BP"/>
    <s v="Wait For Time"/>
    <x v="96"/>
    <n v="3"/>
    <s v="6LJ54025000S"/>
    <s v="GRID-CHARGR-MAIN-H21X (GRID)"/>
    <n v="3"/>
    <d v="2026-09-29T00:00:00"/>
    <x v="2"/>
    <n v="956811"/>
    <n v="0"/>
    <s v="CONSOLIDADOS EN OFICINAS MTY RECIBIDO POR SANDRA ESTRADA"/>
  </r>
  <r>
    <s v="ALFARO VILLASENOR, MIGUEL ANGEL"/>
    <s v="ESTUDIO7516ACT"/>
    <s v="C1IM37997"/>
    <x v="2"/>
    <d v="2026-10-12T00:00:00"/>
    <n v="21446462"/>
    <n v="20811925"/>
    <s v="A"/>
    <s v="EC"/>
    <s v="Down for Parts"/>
    <x v="97"/>
    <n v="1"/>
    <s v="6LJ54055000"/>
    <s v="GEAR-04H-29-9-MIX-AGIR (GEAR)"/>
    <n v="0"/>
    <d v="2026-10-09T00:00:00"/>
    <x v="0"/>
    <m/>
    <n v="0"/>
    <m/>
  </r>
  <r>
    <s v="ALFARO VILLASENOR, MIGUEL ANGEL"/>
    <s v="ESTUDIO7516ACT"/>
    <s v="C1IM37997"/>
    <x v="2"/>
    <d v="2026-10-12T00:00:00"/>
    <n v="21446462"/>
    <n v="20811925"/>
    <s v="A"/>
    <s v="EC"/>
    <s v="Down for Parts"/>
    <x v="97"/>
    <n v="1"/>
    <s v="6LK42409000"/>
    <s v="GEAR-10H21-IDL-PR-H38X * (GEAR)"/>
    <n v="0"/>
    <d v="2026-10-09T00:00:00"/>
    <x v="0"/>
    <m/>
    <n v="0"/>
    <m/>
  </r>
  <r>
    <s v="ALFARO VILLASENOR, MIGUEL ANGEL"/>
    <s v="ESTUDIO7516ACT"/>
    <s v="C1IM37997"/>
    <x v="2"/>
    <d v="2026-10-12T00:00:00"/>
    <n v="21446462"/>
    <n v="20811925"/>
    <s v="A"/>
    <s v="EC"/>
    <s v="Down for Parts"/>
    <x v="97"/>
    <n v="1"/>
    <s v="6LK42507000"/>
    <s v="GEAR-10H22-8-H38X * (GEAR)"/>
    <n v="0"/>
    <d v="2026-10-09T00:00:00"/>
    <x v="0"/>
    <m/>
    <n v="0"/>
    <m/>
  </r>
  <r>
    <s v="ALFARO VILLASENOR, MIGUEL ANGEL"/>
    <s v="ESTUDIO7516ACT"/>
    <s v="C1IM37997"/>
    <x v="2"/>
    <d v="2026-10-12T00:00:00"/>
    <n v="21446462"/>
    <n v="20811925"/>
    <s v="A"/>
    <s v="EC"/>
    <s v="Down for Parts"/>
    <x v="97"/>
    <n v="2"/>
    <s v="6LK42503000"/>
    <s v="GEAR-05H65-08H36-8-H38X (GEAR)"/>
    <n v="0"/>
    <d v="2026-10-09T00:00:00"/>
    <x v="0"/>
    <m/>
    <n v="0"/>
    <m/>
  </r>
  <r>
    <s v="ALFARO VILLASENOR, MIGUEL ANGEL"/>
    <s v="ESTUDIO7516ACT"/>
    <s v="C1IM37997"/>
    <x v="2"/>
    <d v="2026-10-12T00:00:00"/>
    <n v="21446462"/>
    <n v="20811925"/>
    <s v="A"/>
    <s v="EC"/>
    <s v="Down for Parts"/>
    <x v="97"/>
    <n v="4"/>
    <s v="X0-00059000S"/>
    <s v="S/PAN/SWWS-M3X6-NI"/>
    <n v="0"/>
    <d v="2026-10-09T00:00:00"/>
    <x v="0"/>
    <m/>
    <n v="0"/>
    <m/>
  </r>
  <r>
    <s v="ESPINOZA MARES, BRYAN TONATIUH"/>
    <s v="ESTUDIO2520AC"/>
    <s v="CSKN22496"/>
    <x v="50"/>
    <d v="2026-10-02T00:00:00"/>
    <n v="21377060"/>
    <n v="20761306"/>
    <s v="O"/>
    <s v="NS"/>
    <s v="Wait for Parts"/>
    <x v="98"/>
    <n v="2"/>
    <s v="6LJ56811000"/>
    <s v="BUSH-CST-H21X (BUSH)"/>
    <n v="2"/>
    <d v="2026-10-05T00:00:00"/>
    <x v="2"/>
    <n v="957422"/>
    <n v="0"/>
    <s v="CONSOLIDADOS EN OFICINAS GDL RECIBIDO POR FERNANDA GONZALEZ"/>
  </r>
  <r>
    <s v="ESPINOZA MARES, BRYAN TONATIUH"/>
    <s v="ESTUDIO2822AM"/>
    <s v="CKAP32791"/>
    <x v="1"/>
    <d v="2026-10-02T00:00:00"/>
    <n v="21393840"/>
    <n v="20762113"/>
    <s v="A"/>
    <s v="EC"/>
    <s v="Wait for Parts"/>
    <x v="99"/>
    <n v="1"/>
    <s v="6LJ75285000S"/>
    <s v="ASYS-PAD-CST-H394-2"/>
    <n v="1"/>
    <d v="2026-10-05T00:00:00"/>
    <x v="2"/>
    <n v="957563"/>
    <n v="0"/>
    <s v="CONSOLIDADOS EN OFICINAS GDL RECIBIDO POR FERNANDA GONZALEZ"/>
  </r>
  <r>
    <s v="ESPINOZA MARES, BRYAN TONATIUH"/>
    <s v="ESTUDIO2822AM"/>
    <s v="CKAP32791"/>
    <x v="1"/>
    <d v="2026-10-02T00:00:00"/>
    <n v="21393840"/>
    <n v="20762113"/>
    <s v="A"/>
    <s v="EC"/>
    <s v="Wait for Parts"/>
    <x v="100"/>
    <n v="1"/>
    <s v="6LJ75249000S"/>
    <s v="ASYS-ROL-F32"/>
    <n v="1"/>
    <d v="2026-10-05T00:00:00"/>
    <x v="2"/>
    <n v="957563"/>
    <n v="0"/>
    <s v="CONSOLIDADOS EN OFICINAS GDL RECIBIDO POR FERNANDA GONZALEZ"/>
  </r>
  <r>
    <s v="ESPINOZA MARES, BRYAN TONATIUH"/>
    <s v="ESTUDIO2822AM"/>
    <s v="CKAP32791"/>
    <x v="1"/>
    <d v="2026-10-02T00:00:00"/>
    <n v="21393840"/>
    <n v="20762113"/>
    <s v="A"/>
    <s v="EC"/>
    <s v="Wait for Parts"/>
    <x v="101"/>
    <n v="1"/>
    <s v="6LJ80668000S"/>
    <s v="SP_PAD_ASSY"/>
    <n v="1"/>
    <d v="2026-10-05T00:00:00"/>
    <x v="2"/>
    <n v="957563"/>
    <n v="0"/>
    <s v="CONSOLIDADOS EN OFICINAS GDL RECIBIDO POR FERNANDA GONZALEZ"/>
  </r>
  <r>
    <s v="ESPINOZA MARES, BRYAN TONATIUH"/>
    <s v="ESTUDIO2822AM"/>
    <s v="CKAP32791"/>
    <x v="1"/>
    <d v="2026-10-02T00:00:00"/>
    <n v="21393840"/>
    <n v="20762113"/>
    <s v="A"/>
    <s v="EC"/>
    <s v="Wait for Parts"/>
    <x v="102"/>
    <n v="1"/>
    <s v="6LJ80576000S"/>
    <s v="PICK_UP_ROLLER_ASSY"/>
    <n v="1"/>
    <d v="2026-10-05T00:00:00"/>
    <x v="2"/>
    <n v="957563"/>
    <n v="0"/>
    <s v="CONSOLIDADOS EN OFICINAS GDL RECIBIDO POR FERNANDA GONZALEZ"/>
  </r>
  <r>
    <s v="ESPINOZA MARES, BRYAN TONATIUH"/>
    <s v="ESTUDIO2822AM"/>
    <s v="CKAP32791"/>
    <x v="1"/>
    <d v="2026-10-02T00:00:00"/>
    <n v="21393840"/>
    <n v="20762113"/>
    <s v="A"/>
    <s v="EC"/>
    <s v="Wait for Parts"/>
    <x v="103"/>
    <n v="1"/>
    <s v="6LJ80575000S"/>
    <s v="ADF_ROLLER_ASSY"/>
    <n v="1"/>
    <d v="2026-10-05T00:00:00"/>
    <x v="2"/>
    <n v="957563"/>
    <n v="0"/>
    <s v="CONSOLIDADOS EN OFICINAS GDL RECIBIDO POR FERNANDA GONZALEZ"/>
  </r>
  <r>
    <s v="ESPINOZA MARES, BRYAN TONATIUH"/>
    <s v="ESTUDIO479S"/>
    <s v="702040320469X"/>
    <x v="51"/>
    <d v="2026-09-29T00:00:00"/>
    <n v="21368258"/>
    <n v="20735374"/>
    <s v="O"/>
    <s v="PJ"/>
    <s v="Wait for Parts"/>
    <x v="104"/>
    <n v="1"/>
    <s v="41X1196S"/>
    <s v="PICK ROLLER ASSEMBLY"/>
    <n v="1"/>
    <d v="2026-10-05T00:00:00"/>
    <x v="2"/>
    <n v="957464"/>
    <n v="0"/>
    <s v="CONSOLIDADOS EN OFICINAS GDL RECIBIDO POR FERNANDA GONZALEZ"/>
  </r>
  <r>
    <s v="PARDO TORRES, CLAUDIO JONATHAN"/>
    <s v="ESTUDIO2822AM"/>
    <s v="CKDN30258"/>
    <x v="31"/>
    <d v="2026-10-06T00:00:00"/>
    <n v="21425290"/>
    <n v="20784917"/>
    <s v="A"/>
    <s v="CQ"/>
    <s v="Wait for Parts"/>
    <x v="105"/>
    <n v="1"/>
    <s v="6LJ83358000S"/>
    <s v="OD-2505"/>
    <n v="1"/>
    <d v="2026-10-07T00:00:00"/>
    <x v="3"/>
    <n v="957898"/>
    <n v="0"/>
    <s v="GUIA 7856908371 EN ESPERA DE SER RECOLECTADO 08 OCT"/>
  </r>
  <r>
    <s v="PARDO TORRES, CLAUDIO JONATHAN"/>
    <s v="ESTUDIO4528A"/>
    <s v="CTHP42059"/>
    <x v="44"/>
    <d v="2026-10-05T00:00:00"/>
    <n v="21389386"/>
    <n v="20776286"/>
    <s v="O"/>
    <s v="CQ"/>
    <s v="Wait for Parts"/>
    <x v="106"/>
    <n v="1"/>
    <s v="6LK72101000S"/>
    <s v="HR-5008A-L"/>
    <n v="1"/>
    <d v="2026-10-06T00:00:00"/>
    <x v="2"/>
    <n v="957685"/>
    <n v="0"/>
    <s v="RECIBIDO POR JOSE LUIS GUTIÉRREZ"/>
  </r>
  <r>
    <s v="PARDO TORRES, CLAUDIO JONATHAN"/>
    <s v="ESTUDIO478S"/>
    <s v="701822140G4W5"/>
    <x v="52"/>
    <d v="2026-10-07T00:00:00"/>
    <n v="21438984"/>
    <n v="20790266"/>
    <s v="PC"/>
    <s v="EC"/>
    <s v="Wait for Parts"/>
    <x v="107"/>
    <n v="1"/>
    <s v="OD478SR"/>
    <s v="E-STUDIO478S RETURN PROGRAM BLACK IMAGING UNIT - 60K"/>
    <n v="1"/>
    <d v="2026-10-08T00:00:00"/>
    <x v="4"/>
    <n v="958088"/>
    <n v="0"/>
    <s v="GUIA 8941007600 EN RUTA CON MENSAJERO 09 OC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788C9-F8CC-4EFC-94A8-9BD11CC22272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9" firstHeaderRow="1" firstDataRow="2" firstDataCol="1" rowPageCount="1" colPageCount="1"/>
  <pivotFields count="20">
    <pivotField showAll="0"/>
    <pivotField showAll="0"/>
    <pivotField showAll="0"/>
    <pivotField axis="axisPage" showAll="0">
      <items count="54">
        <item x="4"/>
        <item x="5"/>
        <item x="45"/>
        <item x="41"/>
        <item x="23"/>
        <item x="38"/>
        <item x="10"/>
        <item x="27"/>
        <item x="42"/>
        <item x="3"/>
        <item x="6"/>
        <item x="14"/>
        <item x="35"/>
        <item x="13"/>
        <item x="20"/>
        <item x="24"/>
        <item x="43"/>
        <item x="34"/>
        <item x="1"/>
        <item x="0"/>
        <item x="48"/>
        <item x="46"/>
        <item x="29"/>
        <item x="7"/>
        <item x="12"/>
        <item x="31"/>
        <item x="30"/>
        <item x="17"/>
        <item x="40"/>
        <item x="44"/>
        <item x="28"/>
        <item x="51"/>
        <item x="47"/>
        <item x="22"/>
        <item x="49"/>
        <item x="2"/>
        <item x="9"/>
        <item x="52"/>
        <item x="37"/>
        <item x="33"/>
        <item x="25"/>
        <item x="19"/>
        <item x="36"/>
        <item x="21"/>
        <item x="16"/>
        <item x="11"/>
        <item x="32"/>
        <item x="39"/>
        <item x="8"/>
        <item x="26"/>
        <item x="18"/>
        <item x="50"/>
        <item x="15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Row" dataField="1" showAll="0">
      <items count="109">
        <item x="45"/>
        <item x="61"/>
        <item x="60"/>
        <item x="39"/>
        <item x="59"/>
        <item x="67"/>
        <item x="68"/>
        <item x="106"/>
        <item x="105"/>
        <item x="107"/>
        <item x="21"/>
        <item x="51"/>
        <item x="50"/>
        <item x="15"/>
        <item x="49"/>
        <item x="32"/>
        <item x="44"/>
        <item x="48"/>
        <item x="14"/>
        <item x="11"/>
        <item x="10"/>
        <item x="13"/>
        <item x="81"/>
        <item x="16"/>
        <item x="89"/>
        <item x="26"/>
        <item x="91"/>
        <item x="69"/>
        <item x="97"/>
        <item x="6"/>
        <item x="70"/>
        <item x="74"/>
        <item x="52"/>
        <item x="33"/>
        <item x="73"/>
        <item x="9"/>
        <item x="79"/>
        <item x="71"/>
        <item x="63"/>
        <item x="62"/>
        <item x="64"/>
        <item x="12"/>
        <item x="40"/>
        <item x="8"/>
        <item x="5"/>
        <item x="22"/>
        <item x="53"/>
        <item x="0"/>
        <item x="36"/>
        <item x="17"/>
        <item x="35"/>
        <item x="34"/>
        <item x="94"/>
        <item x="95"/>
        <item x="96"/>
        <item x="29"/>
        <item x="30"/>
        <item x="31"/>
        <item x="80"/>
        <item x="27"/>
        <item x="90"/>
        <item x="28"/>
        <item x="20"/>
        <item x="43"/>
        <item x="72"/>
        <item x="54"/>
        <item x="38"/>
        <item x="37"/>
        <item x="104"/>
        <item x="98"/>
        <item x="99"/>
        <item x="100"/>
        <item x="101"/>
        <item x="102"/>
        <item x="103"/>
        <item x="78"/>
        <item x="87"/>
        <item x="86"/>
        <item x="85"/>
        <item x="47"/>
        <item x="3"/>
        <item x="93"/>
        <item x="92"/>
        <item x="7"/>
        <item x="41"/>
        <item x="84"/>
        <item x="82"/>
        <item x="23"/>
        <item x="46"/>
        <item x="83"/>
        <item x="2"/>
        <item x="1"/>
        <item x="4"/>
        <item x="88"/>
        <item x="25"/>
        <item x="24"/>
        <item x="65"/>
        <item x="66"/>
        <item x="18"/>
        <item x="19"/>
        <item x="42"/>
        <item x="58"/>
        <item x="77"/>
        <item x="76"/>
        <item x="55"/>
        <item x="57"/>
        <item x="56"/>
        <item x="75"/>
        <item t="default"/>
      </items>
    </pivotField>
    <pivotField numFmtId="1" showAll="0"/>
    <pivotField showAll="0"/>
    <pivotField showAll="0"/>
    <pivotField numFmtId="1" showAll="0"/>
    <pivotField numFmtId="164" showAll="0"/>
    <pivotField axis="axisCol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0"/>
  </rowFields>
  <rowItems count="15">
    <i>
      <x v="11"/>
    </i>
    <i>
      <x v="12"/>
    </i>
    <i>
      <x v="16"/>
    </i>
    <i>
      <x v="18"/>
    </i>
    <i>
      <x v="27"/>
    </i>
    <i>
      <x v="28"/>
    </i>
    <i>
      <x v="31"/>
    </i>
    <i>
      <x v="40"/>
    </i>
    <i>
      <x v="43"/>
    </i>
    <i>
      <x v="49"/>
    </i>
    <i>
      <x v="75"/>
    </i>
    <i>
      <x v="83"/>
    </i>
    <i>
      <x v="92"/>
    </i>
    <i>
      <x v="100"/>
    </i>
    <i t="grand">
      <x/>
    </i>
  </rowItems>
  <colFields count="1">
    <field x="16"/>
  </colFields>
  <colItems count="5">
    <i>
      <x/>
    </i>
    <i>
      <x v="1"/>
    </i>
    <i>
      <x v="3"/>
    </i>
    <i>
      <x v="4"/>
    </i>
    <i t="grand">
      <x/>
    </i>
  </colItems>
  <pageFields count="1">
    <pageField fld="3" item="35" hier="-1"/>
  </pageFields>
  <dataFields count="1">
    <dataField name="Cuenta de Order Number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238D-331F-4986-96B3-BB87BF02A97A}">
  <dimension ref="A1:F19"/>
  <sheetViews>
    <sheetView workbookViewId="0">
      <selection activeCell="D5" sqref="D5:E18"/>
    </sheetView>
  </sheetViews>
  <sheetFormatPr baseColWidth="10" defaultRowHeight="15" x14ac:dyDescent="0.25"/>
  <cols>
    <col min="1" max="1" width="23.5703125" bestFit="1" customWidth="1"/>
    <col min="2" max="2" width="34.7109375" bestFit="1" customWidth="1"/>
    <col min="3" max="3" width="22.85546875" bestFit="1" customWidth="1"/>
    <col min="4" max="4" width="11.140625" bestFit="1" customWidth="1"/>
    <col min="5" max="5" width="13.7109375" bestFit="1" customWidth="1"/>
    <col min="6" max="7" width="12.5703125" bestFit="1" customWidth="1"/>
  </cols>
  <sheetData>
    <row r="1" spans="1:6" x14ac:dyDescent="0.25">
      <c r="A1" s="10" t="s">
        <v>3</v>
      </c>
      <c r="B1" t="s">
        <v>35</v>
      </c>
    </row>
    <row r="3" spans="1:6" x14ac:dyDescent="0.25">
      <c r="A3" s="10" t="s">
        <v>739</v>
      </c>
      <c r="B3" s="10" t="s">
        <v>740</v>
      </c>
    </row>
    <row r="4" spans="1:6" x14ac:dyDescent="0.25">
      <c r="A4" s="10" t="s">
        <v>737</v>
      </c>
      <c r="B4" t="s">
        <v>668</v>
      </c>
      <c r="C4" t="s">
        <v>669</v>
      </c>
      <c r="D4" t="s">
        <v>671</v>
      </c>
      <c r="E4" t="s">
        <v>667</v>
      </c>
      <c r="F4" t="s">
        <v>738</v>
      </c>
    </row>
    <row r="5" spans="1:6" x14ac:dyDescent="0.25">
      <c r="A5" s="11" t="s">
        <v>43</v>
      </c>
      <c r="B5" s="12">
        <v>1</v>
      </c>
      <c r="C5" s="12"/>
      <c r="D5" s="12"/>
      <c r="E5" s="12"/>
      <c r="F5" s="12">
        <v>1</v>
      </c>
    </row>
    <row r="6" spans="1:6" x14ac:dyDescent="0.25">
      <c r="A6" s="11" t="s">
        <v>38</v>
      </c>
      <c r="B6" s="12">
        <v>1</v>
      </c>
      <c r="C6" s="12"/>
      <c r="D6" s="12"/>
      <c r="E6" s="12"/>
      <c r="F6" s="12">
        <v>1</v>
      </c>
    </row>
    <row r="7" spans="1:6" x14ac:dyDescent="0.25">
      <c r="A7" s="11" t="s">
        <v>301</v>
      </c>
      <c r="B7" s="12"/>
      <c r="C7" s="12"/>
      <c r="D7" s="12"/>
      <c r="E7" s="12">
        <v>3</v>
      </c>
      <c r="F7" s="12">
        <v>3</v>
      </c>
    </row>
    <row r="8" spans="1:6" x14ac:dyDescent="0.25">
      <c r="A8" s="11" t="s">
        <v>598</v>
      </c>
      <c r="B8" s="12"/>
      <c r="C8" s="12"/>
      <c r="D8" s="12"/>
      <c r="E8" s="12">
        <v>5</v>
      </c>
      <c r="F8" s="12">
        <v>5</v>
      </c>
    </row>
    <row r="9" spans="1:6" x14ac:dyDescent="0.25">
      <c r="A9" s="11" t="s">
        <v>291</v>
      </c>
      <c r="B9" s="12"/>
      <c r="C9" s="12">
        <v>1</v>
      </c>
      <c r="D9" s="12"/>
      <c r="E9" s="12"/>
      <c r="F9" s="12">
        <v>1</v>
      </c>
    </row>
    <row r="10" spans="1:6" x14ac:dyDescent="0.25">
      <c r="A10" s="11" t="s">
        <v>567</v>
      </c>
      <c r="B10" s="12"/>
      <c r="C10" s="12"/>
      <c r="D10" s="12"/>
      <c r="E10" s="12">
        <v>5</v>
      </c>
      <c r="F10" s="12">
        <v>5</v>
      </c>
    </row>
    <row r="11" spans="1:6" x14ac:dyDescent="0.25">
      <c r="A11" s="11" t="s">
        <v>342</v>
      </c>
      <c r="B11" s="12">
        <v>5</v>
      </c>
      <c r="C11" s="12"/>
      <c r="D11" s="12"/>
      <c r="E11" s="12"/>
      <c r="F11" s="12">
        <v>5</v>
      </c>
    </row>
    <row r="12" spans="1:6" x14ac:dyDescent="0.25">
      <c r="A12" s="11" t="s">
        <v>227</v>
      </c>
      <c r="B12" s="12"/>
      <c r="C12" s="12">
        <v>1</v>
      </c>
      <c r="D12" s="12"/>
      <c r="E12" s="12"/>
      <c r="F12" s="12">
        <v>1</v>
      </c>
    </row>
    <row r="13" spans="1:6" x14ac:dyDescent="0.25">
      <c r="A13" s="11" t="s">
        <v>293</v>
      </c>
      <c r="B13" s="12"/>
      <c r="C13" s="12"/>
      <c r="D13" s="12">
        <v>1</v>
      </c>
      <c r="E13" s="12"/>
      <c r="F13" s="12">
        <v>1</v>
      </c>
    </row>
    <row r="14" spans="1:6" x14ac:dyDescent="0.25">
      <c r="A14" s="11" t="s">
        <v>120</v>
      </c>
      <c r="B14" s="12"/>
      <c r="C14" s="12"/>
      <c r="D14" s="12"/>
      <c r="E14" s="12">
        <v>7</v>
      </c>
      <c r="F14" s="12">
        <v>7</v>
      </c>
    </row>
    <row r="15" spans="1:6" x14ac:dyDescent="0.25">
      <c r="A15" s="11" t="s">
        <v>359</v>
      </c>
      <c r="B15" s="12">
        <v>1</v>
      </c>
      <c r="C15" s="12"/>
      <c r="D15" s="12"/>
      <c r="E15" s="12"/>
      <c r="F15" s="12">
        <v>1</v>
      </c>
    </row>
    <row r="16" spans="1:6" x14ac:dyDescent="0.25">
      <c r="A16" s="11" t="s">
        <v>533</v>
      </c>
      <c r="B16" s="12"/>
      <c r="C16" s="12"/>
      <c r="D16" s="12"/>
      <c r="E16" s="12">
        <v>7</v>
      </c>
      <c r="F16" s="12">
        <v>7</v>
      </c>
    </row>
    <row r="17" spans="1:6" x14ac:dyDescent="0.25">
      <c r="A17" s="11" t="s">
        <v>475</v>
      </c>
      <c r="B17" s="12"/>
      <c r="C17" s="12"/>
      <c r="D17" s="12"/>
      <c r="E17" s="12">
        <v>4</v>
      </c>
      <c r="F17" s="12">
        <v>4</v>
      </c>
    </row>
    <row r="18" spans="1:6" x14ac:dyDescent="0.25">
      <c r="A18" s="11" t="s">
        <v>257</v>
      </c>
      <c r="B18" s="12"/>
      <c r="C18" s="12"/>
      <c r="D18" s="12"/>
      <c r="E18" s="12">
        <v>2</v>
      </c>
      <c r="F18" s="12">
        <v>2</v>
      </c>
    </row>
    <row r="19" spans="1:6" x14ac:dyDescent="0.25">
      <c r="A19" s="11" t="s">
        <v>738</v>
      </c>
      <c r="B19" s="12">
        <v>8</v>
      </c>
      <c r="C19" s="12">
        <v>2</v>
      </c>
      <c r="D19" s="12">
        <v>1</v>
      </c>
      <c r="E19" s="12">
        <v>33</v>
      </c>
      <c r="F19" s="12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215"/>
  <sheetViews>
    <sheetView showGridLines="0" tabSelected="1" workbookViewId="0"/>
  </sheetViews>
  <sheetFormatPr baseColWidth="10" defaultColWidth="9.140625" defaultRowHeight="15" x14ac:dyDescent="0.25"/>
  <cols>
    <col min="1" max="1" width="26.85546875" style="2" customWidth="1"/>
    <col min="2" max="2" width="15.5703125" style="2" customWidth="1"/>
    <col min="3" max="3" width="14.140625" style="2" customWidth="1"/>
    <col min="4" max="4" width="27.42578125" style="2" customWidth="1"/>
    <col min="5" max="5" width="8.85546875" style="2" customWidth="1"/>
    <col min="6" max="7" width="7.85546875" style="2" bestFit="1" customWidth="1"/>
    <col min="8" max="8" width="4.5703125" style="2" customWidth="1"/>
    <col min="9" max="9" width="6.85546875" style="2" customWidth="1"/>
    <col min="10" max="10" width="10.85546875" style="2" bestFit="1" customWidth="1"/>
    <col min="11" max="11" width="12.28515625" style="2" customWidth="1"/>
    <col min="12" max="12" width="6.85546875" style="2" customWidth="1"/>
    <col min="13" max="13" width="11.85546875" style="2" customWidth="1"/>
    <col min="14" max="14" width="25" style="2" customWidth="1"/>
    <col min="15" max="15" width="6.85546875" style="2" customWidth="1"/>
    <col min="16" max="16" width="10.7109375" style="2" bestFit="1" customWidth="1"/>
    <col min="17" max="17" width="16.7109375" style="2" bestFit="1" customWidth="1"/>
    <col min="18" max="18" width="17.42578125" style="2" bestFit="1" customWidth="1"/>
    <col min="19" max="19" width="3" style="2" customWidth="1"/>
    <col min="20" max="20" width="101.7109375" style="2" bestFit="1" customWidth="1"/>
    <col min="21" max="21" width="10.140625" style="2" bestFit="1" customWidth="1"/>
    <col min="22" max="22" width="9.7109375" style="2" bestFit="1" customWidth="1"/>
    <col min="23" max="23" width="10.140625" style="2" bestFit="1" customWidth="1"/>
    <col min="24" max="25" width="9.5703125" style="2" bestFit="1" customWidth="1"/>
    <col min="26" max="26" width="10.42578125" style="2" bestFit="1" customWidth="1"/>
    <col min="27" max="27" width="9.85546875" style="2" bestFit="1" customWidth="1"/>
    <col min="28" max="16384" width="9.140625" style="2"/>
  </cols>
  <sheetData>
    <row r="1" spans="1:27" x14ac:dyDescent="0.25">
      <c r="A1" s="1"/>
    </row>
    <row r="2" spans="1:27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661</v>
      </c>
      <c r="G2" s="6" t="s">
        <v>662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663</v>
      </c>
      <c r="R2" s="7" t="s">
        <v>664</v>
      </c>
      <c r="S2" s="7" t="s">
        <v>665</v>
      </c>
      <c r="T2" s="6" t="s">
        <v>666</v>
      </c>
      <c r="U2" s="8">
        <v>46023</v>
      </c>
      <c r="V2" s="8">
        <v>46055</v>
      </c>
      <c r="W2" s="8">
        <v>46097</v>
      </c>
      <c r="X2" s="8">
        <v>46114</v>
      </c>
      <c r="Y2" s="8">
        <v>46115</v>
      </c>
      <c r="Z2" s="8">
        <v>46143</v>
      </c>
      <c r="AA2" s="8">
        <v>46281</v>
      </c>
    </row>
    <row r="3" spans="1:27" x14ac:dyDescent="0.25">
      <c r="A3" s="3" t="s">
        <v>614</v>
      </c>
      <c r="B3" s="3" t="s">
        <v>111</v>
      </c>
      <c r="C3" s="3" t="s">
        <v>112</v>
      </c>
      <c r="D3" s="3" t="s">
        <v>113</v>
      </c>
      <c r="E3" s="4">
        <v>46286</v>
      </c>
      <c r="F3" s="3">
        <v>21246052</v>
      </c>
      <c r="G3" s="3">
        <v>20679544</v>
      </c>
      <c r="H3" s="3" t="s">
        <v>114</v>
      </c>
      <c r="I3" s="3" t="s">
        <v>18</v>
      </c>
      <c r="J3" s="3" t="s">
        <v>19</v>
      </c>
      <c r="K3" s="3" t="s">
        <v>115</v>
      </c>
      <c r="L3" s="5">
        <v>1</v>
      </c>
      <c r="M3" s="3" t="s">
        <v>116</v>
      </c>
      <c r="N3" s="3" t="s">
        <v>117</v>
      </c>
      <c r="O3" s="5">
        <v>0</v>
      </c>
      <c r="P3" s="4">
        <v>46300</v>
      </c>
      <c r="Q3" s="3" t="s">
        <v>667</v>
      </c>
      <c r="R3" s="9"/>
      <c r="S3" s="9">
        <f ca="1">IF(OR(Q3="SIN PROCESAR",Q3="SIN ENVIAR",Q3="ENVIADO SIN ENTREGAR"),(IF((NETWORKDAYS(E3,TODAY()-1,$U$2:$AA$2))&lt;0,0,(NETWORKDAYS(E3,TODAY()-1,$U$2:$AA$2)))),0)</f>
        <v>15</v>
      </c>
      <c r="T3" s="3" t="s">
        <v>680</v>
      </c>
    </row>
    <row r="4" spans="1:27" x14ac:dyDescent="0.25">
      <c r="A4" s="3" t="s">
        <v>646</v>
      </c>
      <c r="B4" s="3" t="s">
        <v>75</v>
      </c>
      <c r="C4" s="3" t="s">
        <v>456</v>
      </c>
      <c r="D4" s="3" t="s">
        <v>77</v>
      </c>
      <c r="E4" s="4">
        <v>46288</v>
      </c>
      <c r="F4" s="3">
        <v>21318688</v>
      </c>
      <c r="G4" s="3">
        <v>20696425</v>
      </c>
      <c r="H4" s="3" t="s">
        <v>78</v>
      </c>
      <c r="I4" s="3" t="s">
        <v>49</v>
      </c>
      <c r="J4" s="3" t="s">
        <v>19</v>
      </c>
      <c r="K4" s="3" t="s">
        <v>457</v>
      </c>
      <c r="L4" s="5">
        <v>1</v>
      </c>
      <c r="M4" s="3" t="s">
        <v>458</v>
      </c>
      <c r="N4" s="3" t="s">
        <v>459</v>
      </c>
      <c r="O4" s="5">
        <v>0</v>
      </c>
      <c r="P4" s="4">
        <v>46301</v>
      </c>
      <c r="Q4" s="3" t="s">
        <v>667</v>
      </c>
      <c r="R4" s="9"/>
      <c r="S4" s="9">
        <f ca="1">IF(OR(Q4="SIN PROCESAR",Q4="SIN ENVIAR",Q4="ENVIADO SIN ENTREGAR"),(IF((NETWORKDAYS(E4,TODAY()-1,$U$2:$AA$2))&lt;0,0,(NETWORKDAYS(E4,TODAY()-1,$U$2:$AA$2)))),0)</f>
        <v>13</v>
      </c>
      <c r="T4" s="3" t="s">
        <v>719</v>
      </c>
    </row>
    <row r="5" spans="1:27" x14ac:dyDescent="0.25">
      <c r="A5" s="3" t="s">
        <v>646</v>
      </c>
      <c r="B5" s="3" t="s">
        <v>75</v>
      </c>
      <c r="C5" s="3" t="s">
        <v>456</v>
      </c>
      <c r="D5" s="3" t="s">
        <v>77</v>
      </c>
      <c r="E5" s="4">
        <v>46288</v>
      </c>
      <c r="F5" s="3">
        <v>21318688</v>
      </c>
      <c r="G5" s="3">
        <v>20696425</v>
      </c>
      <c r="H5" s="3" t="s">
        <v>78</v>
      </c>
      <c r="I5" s="3" t="s">
        <v>49</v>
      </c>
      <c r="J5" s="3" t="s">
        <v>19</v>
      </c>
      <c r="K5" s="3" t="s">
        <v>457</v>
      </c>
      <c r="L5" s="5">
        <v>1</v>
      </c>
      <c r="M5" s="3" t="s">
        <v>73</v>
      </c>
      <c r="N5" s="3" t="s">
        <v>74</v>
      </c>
      <c r="O5" s="5">
        <v>0</v>
      </c>
      <c r="P5" s="4">
        <v>46301</v>
      </c>
      <c r="Q5" s="3" t="s">
        <v>667</v>
      </c>
      <c r="R5" s="9"/>
      <c r="S5" s="9">
        <f ca="1">IF(OR(Q5="SIN PROCESAR",Q5="SIN ENVIAR",Q5="ENVIADO SIN ENTREGAR"),(IF((NETWORKDAYS(E5,TODAY()-1,$U$2:$AA$2))&lt;0,0,(NETWORKDAYS(E5,TODAY()-1,$U$2:$AA$2)))),0)</f>
        <v>13</v>
      </c>
      <c r="T5" s="3" t="s">
        <v>719</v>
      </c>
    </row>
    <row r="6" spans="1:27" x14ac:dyDescent="0.25">
      <c r="A6" s="3" t="s">
        <v>646</v>
      </c>
      <c r="B6" s="3" t="s">
        <v>75</v>
      </c>
      <c r="C6" s="3" t="s">
        <v>460</v>
      </c>
      <c r="D6" s="3" t="s">
        <v>77</v>
      </c>
      <c r="E6" s="4">
        <v>46288</v>
      </c>
      <c r="F6" s="3">
        <v>21318704</v>
      </c>
      <c r="G6" s="3">
        <v>20696424</v>
      </c>
      <c r="H6" s="3" t="s">
        <v>78</v>
      </c>
      <c r="I6" s="3" t="s">
        <v>49</v>
      </c>
      <c r="J6" s="3" t="s">
        <v>19</v>
      </c>
      <c r="K6" s="3" t="s">
        <v>461</v>
      </c>
      <c r="L6" s="5">
        <v>1</v>
      </c>
      <c r="M6" s="3" t="s">
        <v>462</v>
      </c>
      <c r="N6" s="3" t="s">
        <v>463</v>
      </c>
      <c r="O6" s="5">
        <v>0</v>
      </c>
      <c r="P6" s="4">
        <v>46301</v>
      </c>
      <c r="Q6" s="3" t="s">
        <v>667</v>
      </c>
      <c r="R6" s="9"/>
      <c r="S6" s="9">
        <f ca="1">IF(OR(Q6="SIN PROCESAR",Q6="SIN ENVIAR",Q6="ENVIADO SIN ENTREGAR"),(IF((NETWORKDAYS(E6,TODAY()-1,$U$2:$AA$2))&lt;0,0,(NETWORKDAYS(E6,TODAY()-1,$U$2:$AA$2)))),0)</f>
        <v>13</v>
      </c>
      <c r="T6" s="3" t="s">
        <v>719</v>
      </c>
    </row>
    <row r="7" spans="1:27" x14ac:dyDescent="0.25">
      <c r="A7" s="3" t="s">
        <v>646</v>
      </c>
      <c r="B7" s="3" t="s">
        <v>75</v>
      </c>
      <c r="C7" s="3" t="s">
        <v>460</v>
      </c>
      <c r="D7" s="3" t="s">
        <v>77</v>
      </c>
      <c r="E7" s="4">
        <v>46288</v>
      </c>
      <c r="F7" s="3">
        <v>21318704</v>
      </c>
      <c r="G7" s="3">
        <v>20696424</v>
      </c>
      <c r="H7" s="3" t="s">
        <v>78</v>
      </c>
      <c r="I7" s="3" t="s">
        <v>49</v>
      </c>
      <c r="J7" s="3" t="s">
        <v>19</v>
      </c>
      <c r="K7" s="3" t="s">
        <v>461</v>
      </c>
      <c r="L7" s="5">
        <v>1</v>
      </c>
      <c r="M7" s="3" t="s">
        <v>458</v>
      </c>
      <c r="N7" s="3" t="s">
        <v>459</v>
      </c>
      <c r="O7" s="5">
        <v>0</v>
      </c>
      <c r="P7" s="4">
        <v>46301</v>
      </c>
      <c r="Q7" s="3" t="s">
        <v>667</v>
      </c>
      <c r="R7" s="9"/>
      <c r="S7" s="9">
        <f ca="1">IF(OR(Q7="SIN PROCESAR",Q7="SIN ENVIAR",Q7="ENVIADO SIN ENTREGAR"),(IF((NETWORKDAYS(E7,TODAY()-1,$U$2:$AA$2))&lt;0,0,(NETWORKDAYS(E7,TODAY()-1,$U$2:$AA$2)))),0)</f>
        <v>13</v>
      </c>
      <c r="T7" s="3" t="s">
        <v>719</v>
      </c>
    </row>
    <row r="8" spans="1:27" x14ac:dyDescent="0.25">
      <c r="A8" s="3" t="s">
        <v>646</v>
      </c>
      <c r="B8" s="3" t="s">
        <v>75</v>
      </c>
      <c r="C8" s="3" t="s">
        <v>460</v>
      </c>
      <c r="D8" s="3" t="s">
        <v>77</v>
      </c>
      <c r="E8" s="4">
        <v>46288</v>
      </c>
      <c r="F8" s="3">
        <v>21318704</v>
      </c>
      <c r="G8" s="3">
        <v>20696424</v>
      </c>
      <c r="H8" s="3" t="s">
        <v>78</v>
      </c>
      <c r="I8" s="3" t="s">
        <v>49</v>
      </c>
      <c r="J8" s="3" t="s">
        <v>19</v>
      </c>
      <c r="K8" s="3" t="s">
        <v>461</v>
      </c>
      <c r="L8" s="5">
        <v>1</v>
      </c>
      <c r="M8" s="3" t="s">
        <v>73</v>
      </c>
      <c r="N8" s="3" t="s">
        <v>74</v>
      </c>
      <c r="O8" s="5">
        <v>0</v>
      </c>
      <c r="P8" s="4">
        <v>46301</v>
      </c>
      <c r="Q8" s="3" t="s">
        <v>667</v>
      </c>
      <c r="R8" s="9"/>
      <c r="S8" s="9">
        <f ca="1">IF(OR(Q8="SIN PROCESAR",Q8="SIN ENVIAR",Q8="ENVIADO SIN ENTREGAR"),(IF((NETWORKDAYS(E8,TODAY()-1,$U$2:$AA$2))&lt;0,0,(NETWORKDAYS(E8,TODAY()-1,$U$2:$AA$2)))),0)</f>
        <v>13</v>
      </c>
      <c r="T8" s="3" t="s">
        <v>719</v>
      </c>
    </row>
    <row r="9" spans="1:27" x14ac:dyDescent="0.25">
      <c r="A9" s="3" t="s">
        <v>653</v>
      </c>
      <c r="B9" s="3" t="s">
        <v>75</v>
      </c>
      <c r="C9" s="3" t="s">
        <v>524</v>
      </c>
      <c r="D9" s="3" t="s">
        <v>77</v>
      </c>
      <c r="E9" s="4">
        <v>46289</v>
      </c>
      <c r="F9" s="3">
        <v>21321304</v>
      </c>
      <c r="G9" s="3">
        <v>20698907</v>
      </c>
      <c r="H9" s="3" t="s">
        <v>78</v>
      </c>
      <c r="I9" s="3" t="s">
        <v>49</v>
      </c>
      <c r="J9" s="3" t="s">
        <v>19</v>
      </c>
      <c r="K9" s="3" t="s">
        <v>525</v>
      </c>
      <c r="L9" s="5">
        <v>1</v>
      </c>
      <c r="M9" s="3" t="s">
        <v>84</v>
      </c>
      <c r="N9" s="3" t="s">
        <v>85</v>
      </c>
      <c r="O9" s="5">
        <v>0</v>
      </c>
      <c r="P9" s="4">
        <v>46304</v>
      </c>
      <c r="Q9" s="3" t="s">
        <v>667</v>
      </c>
      <c r="R9" s="9"/>
      <c r="S9" s="9">
        <f ca="1">IF(OR(Q9="SIN PROCESAR",Q9="SIN ENVIAR",Q9="ENVIADO SIN ENTREGAR"),(IF((NETWORKDAYS(E9,TODAY()-1,$U$2:$AA$2))&lt;0,0,(NETWORKDAYS(E9,TODAY()-1,$U$2:$AA$2)))),0)</f>
        <v>12</v>
      </c>
      <c r="T9" s="3" t="s">
        <v>729</v>
      </c>
    </row>
    <row r="10" spans="1:27" x14ac:dyDescent="0.25">
      <c r="A10" s="3" t="s">
        <v>646</v>
      </c>
      <c r="B10" s="3" t="s">
        <v>340</v>
      </c>
      <c r="C10" s="3" t="s">
        <v>474</v>
      </c>
      <c r="D10" s="3" t="s">
        <v>35</v>
      </c>
      <c r="E10" s="4">
        <v>46295</v>
      </c>
      <c r="F10" s="3">
        <v>21369724</v>
      </c>
      <c r="G10" s="3">
        <v>20740572</v>
      </c>
      <c r="H10" s="3" t="s">
        <v>36</v>
      </c>
      <c r="I10" s="3" t="s">
        <v>211</v>
      </c>
      <c r="J10" s="3" t="s">
        <v>19</v>
      </c>
      <c r="K10" s="3" t="s">
        <v>475</v>
      </c>
      <c r="L10" s="5">
        <v>1</v>
      </c>
      <c r="M10" s="3" t="s">
        <v>434</v>
      </c>
      <c r="N10" s="3" t="s">
        <v>435</v>
      </c>
      <c r="O10" s="5">
        <v>0</v>
      </c>
      <c r="P10" s="4">
        <v>46304</v>
      </c>
      <c r="Q10" s="3" t="s">
        <v>667</v>
      </c>
      <c r="R10" s="9"/>
      <c r="S10" s="9">
        <f ca="1">IF(OR(Q10="SIN PROCESAR",Q10="SIN ENVIAR",Q10="ENVIADO SIN ENTREGAR"),(IF((NETWORKDAYS(E10,TODAY()-1,$U$2:$AA$2))&lt;0,0,(NETWORKDAYS(E10,TODAY()-1,$U$2:$AA$2)))),0)</f>
        <v>8</v>
      </c>
      <c r="T10" s="3" t="s">
        <v>723</v>
      </c>
    </row>
    <row r="11" spans="1:27" x14ac:dyDescent="0.25">
      <c r="A11" s="3" t="s">
        <v>646</v>
      </c>
      <c r="B11" s="3" t="s">
        <v>340</v>
      </c>
      <c r="C11" s="3" t="s">
        <v>474</v>
      </c>
      <c r="D11" s="3" t="s">
        <v>35</v>
      </c>
      <c r="E11" s="4">
        <v>46295</v>
      </c>
      <c r="F11" s="3">
        <v>21369724</v>
      </c>
      <c r="G11" s="3">
        <v>20740572</v>
      </c>
      <c r="H11" s="3" t="s">
        <v>36</v>
      </c>
      <c r="I11" s="3" t="s">
        <v>211</v>
      </c>
      <c r="J11" s="3" t="s">
        <v>19</v>
      </c>
      <c r="K11" s="3" t="s">
        <v>475</v>
      </c>
      <c r="L11" s="5">
        <v>1</v>
      </c>
      <c r="M11" s="3" t="s">
        <v>476</v>
      </c>
      <c r="N11" s="3" t="s">
        <v>477</v>
      </c>
      <c r="O11" s="5">
        <v>0</v>
      </c>
      <c r="P11" s="4">
        <v>46304</v>
      </c>
      <c r="Q11" s="3" t="s">
        <v>667</v>
      </c>
      <c r="R11" s="9"/>
      <c r="S11" s="9">
        <f ca="1">IF(OR(Q11="SIN PROCESAR",Q11="SIN ENVIAR",Q11="ENVIADO SIN ENTREGAR"),(IF((NETWORKDAYS(E11,TODAY()-1,$U$2:$AA$2))&lt;0,0,(NETWORKDAYS(E11,TODAY()-1,$U$2:$AA$2)))),0)</f>
        <v>8</v>
      </c>
      <c r="T11" s="3" t="s">
        <v>723</v>
      </c>
    </row>
    <row r="12" spans="1:27" x14ac:dyDescent="0.25">
      <c r="A12" s="3" t="s">
        <v>646</v>
      </c>
      <c r="B12" s="3" t="s">
        <v>340</v>
      </c>
      <c r="C12" s="3" t="s">
        <v>474</v>
      </c>
      <c r="D12" s="3" t="s">
        <v>35</v>
      </c>
      <c r="E12" s="4">
        <v>46295</v>
      </c>
      <c r="F12" s="3">
        <v>21369724</v>
      </c>
      <c r="G12" s="3">
        <v>20740572</v>
      </c>
      <c r="H12" s="3" t="s">
        <v>36</v>
      </c>
      <c r="I12" s="3" t="s">
        <v>211</v>
      </c>
      <c r="J12" s="3" t="s">
        <v>19</v>
      </c>
      <c r="K12" s="3" t="s">
        <v>475</v>
      </c>
      <c r="L12" s="5">
        <v>1</v>
      </c>
      <c r="M12" s="3" t="s">
        <v>444</v>
      </c>
      <c r="N12" s="3" t="s">
        <v>445</v>
      </c>
      <c r="O12" s="5">
        <v>0</v>
      </c>
      <c r="P12" s="4">
        <v>46304</v>
      </c>
      <c r="Q12" s="3" t="s">
        <v>667</v>
      </c>
      <c r="R12" s="9"/>
      <c r="S12" s="9">
        <f ca="1">IF(OR(Q12="SIN PROCESAR",Q12="SIN ENVIAR",Q12="ENVIADO SIN ENTREGAR"),(IF((NETWORKDAYS(E12,TODAY()-1,$U$2:$AA$2))&lt;0,0,(NETWORKDAYS(E12,TODAY()-1,$U$2:$AA$2)))),0)</f>
        <v>8</v>
      </c>
      <c r="T12" s="3" t="s">
        <v>723</v>
      </c>
    </row>
    <row r="13" spans="1:27" x14ac:dyDescent="0.25">
      <c r="A13" s="3" t="s">
        <v>646</v>
      </c>
      <c r="B13" s="3" t="s">
        <v>340</v>
      </c>
      <c r="C13" s="3" t="s">
        <v>474</v>
      </c>
      <c r="D13" s="3" t="s">
        <v>35</v>
      </c>
      <c r="E13" s="4">
        <v>46295</v>
      </c>
      <c r="F13" s="3">
        <v>21369724</v>
      </c>
      <c r="G13" s="3">
        <v>20740572</v>
      </c>
      <c r="H13" s="3" t="s">
        <v>36</v>
      </c>
      <c r="I13" s="3" t="s">
        <v>211</v>
      </c>
      <c r="J13" s="3" t="s">
        <v>19</v>
      </c>
      <c r="K13" s="3" t="s">
        <v>475</v>
      </c>
      <c r="L13" s="5">
        <v>4</v>
      </c>
      <c r="M13" s="3" t="s">
        <v>173</v>
      </c>
      <c r="N13" s="3" t="s">
        <v>174</v>
      </c>
      <c r="O13" s="5">
        <v>0</v>
      </c>
      <c r="P13" s="4">
        <v>46304</v>
      </c>
      <c r="Q13" s="3" t="s">
        <v>667</v>
      </c>
      <c r="R13" s="9"/>
      <c r="S13" s="9">
        <f ca="1">IF(OR(Q13="SIN PROCESAR",Q13="SIN ENVIAR",Q13="ENVIADO SIN ENTREGAR"),(IF((NETWORKDAYS(E13,TODAY()-1,$U$2:$AA$2))&lt;0,0,(NETWORKDAYS(E13,TODAY()-1,$U$2:$AA$2)))),0)</f>
        <v>8</v>
      </c>
      <c r="T13" s="3" t="s">
        <v>723</v>
      </c>
    </row>
    <row r="14" spans="1:27" x14ac:dyDescent="0.25">
      <c r="A14" s="3" t="s">
        <v>642</v>
      </c>
      <c r="B14" s="3" t="s">
        <v>58</v>
      </c>
      <c r="C14" s="3" t="s">
        <v>411</v>
      </c>
      <c r="D14" s="3" t="s">
        <v>412</v>
      </c>
      <c r="E14" s="4">
        <v>46297</v>
      </c>
      <c r="F14" s="3">
        <v>21400890</v>
      </c>
      <c r="G14" s="3">
        <v>20759882</v>
      </c>
      <c r="H14" s="3" t="s">
        <v>36</v>
      </c>
      <c r="I14" s="3" t="s">
        <v>18</v>
      </c>
      <c r="J14" s="3" t="s">
        <v>19</v>
      </c>
      <c r="K14" s="3" t="s">
        <v>413</v>
      </c>
      <c r="L14" s="5">
        <v>1</v>
      </c>
      <c r="M14" s="3" t="s">
        <v>414</v>
      </c>
      <c r="N14" s="3" t="s">
        <v>415</v>
      </c>
      <c r="O14" s="5">
        <v>1</v>
      </c>
      <c r="P14" s="4">
        <v>46304</v>
      </c>
      <c r="Q14" s="3" t="s">
        <v>671</v>
      </c>
      <c r="R14" s="9">
        <v>958156</v>
      </c>
      <c r="S14" s="9">
        <f ca="1">IF(OR(Q14="SIN PROCESAR",Q14="SIN ENVIAR",Q14="ENVIADO SIN ENTREGAR"),(IF((NETWORKDAYS(E14,TODAY()-1,$U$2:$AA$2))&lt;0,0,(NETWORKDAYS(E14,TODAY()-1,$U$2:$AA$2)))),0)</f>
        <v>6</v>
      </c>
      <c r="T14" s="3" t="s">
        <v>713</v>
      </c>
    </row>
    <row r="15" spans="1:27" x14ac:dyDescent="0.25">
      <c r="A15" s="3" t="s">
        <v>641</v>
      </c>
      <c r="B15" s="3" t="s">
        <v>58</v>
      </c>
      <c r="C15" s="3" t="s">
        <v>407</v>
      </c>
      <c r="D15" s="3" t="s">
        <v>354</v>
      </c>
      <c r="E15" s="4">
        <v>46301</v>
      </c>
      <c r="F15" s="3">
        <v>21420708</v>
      </c>
      <c r="G15" s="3">
        <v>20784677</v>
      </c>
      <c r="H15" s="3" t="s">
        <v>36</v>
      </c>
      <c r="I15" s="3" t="s">
        <v>18</v>
      </c>
      <c r="J15" s="3" t="s">
        <v>19</v>
      </c>
      <c r="K15" s="3" t="s">
        <v>408</v>
      </c>
      <c r="L15" s="5">
        <v>1</v>
      </c>
      <c r="M15" s="3" t="s">
        <v>405</v>
      </c>
      <c r="N15" s="3" t="s">
        <v>406</v>
      </c>
      <c r="O15" s="5">
        <v>1</v>
      </c>
      <c r="P15" s="4">
        <v>46304</v>
      </c>
      <c r="Q15" s="3" t="s">
        <v>671</v>
      </c>
      <c r="R15" s="9">
        <v>958189</v>
      </c>
      <c r="S15" s="9">
        <f ca="1">IF(OR(Q15="SIN PROCESAR",Q15="SIN ENVIAR",Q15="ENVIADO SIN ENTREGAR"),(IF((NETWORKDAYS(E15,TODAY()-1,$U$2:$AA$2))&lt;0,0,(NETWORKDAYS(E15,TODAY()-1,$U$2:$AA$2)))),0)</f>
        <v>4</v>
      </c>
      <c r="T15" s="3" t="s">
        <v>712</v>
      </c>
    </row>
    <row r="16" spans="1:27" x14ac:dyDescent="0.25">
      <c r="A16" s="3" t="s">
        <v>641</v>
      </c>
      <c r="B16" s="3" t="s">
        <v>58</v>
      </c>
      <c r="C16" s="3" t="s">
        <v>407</v>
      </c>
      <c r="D16" s="3" t="s">
        <v>354</v>
      </c>
      <c r="E16" s="4">
        <v>46301</v>
      </c>
      <c r="F16" s="3">
        <v>21420708</v>
      </c>
      <c r="G16" s="3">
        <v>20784677</v>
      </c>
      <c r="H16" s="3" t="s">
        <v>36</v>
      </c>
      <c r="I16" s="3" t="s">
        <v>18</v>
      </c>
      <c r="J16" s="3" t="s">
        <v>19</v>
      </c>
      <c r="K16" s="3" t="s">
        <v>408</v>
      </c>
      <c r="L16" s="5">
        <v>1</v>
      </c>
      <c r="M16" s="3" t="s">
        <v>409</v>
      </c>
      <c r="N16" s="3" t="s">
        <v>410</v>
      </c>
      <c r="O16" s="5">
        <v>1</v>
      </c>
      <c r="P16" s="4">
        <v>46304</v>
      </c>
      <c r="Q16" s="3" t="s">
        <v>671</v>
      </c>
      <c r="R16" s="9">
        <v>958189</v>
      </c>
      <c r="S16" s="9">
        <f ca="1">IF(OR(Q16="SIN PROCESAR",Q16="SIN ENVIAR",Q16="ENVIADO SIN ENTREGAR"),(IF((NETWORKDAYS(E16,TODAY()-1,$U$2:$AA$2))&lt;0,0,(NETWORKDAYS(E16,TODAY()-1,$U$2:$AA$2)))),0)</f>
        <v>4</v>
      </c>
      <c r="T16" s="3" t="s">
        <v>712</v>
      </c>
    </row>
    <row r="17" spans="1:20" x14ac:dyDescent="0.25">
      <c r="A17" s="3" t="s">
        <v>653</v>
      </c>
      <c r="B17" s="3" t="s">
        <v>255</v>
      </c>
      <c r="C17" s="3" t="s">
        <v>532</v>
      </c>
      <c r="D17" s="3" t="s">
        <v>35</v>
      </c>
      <c r="E17" s="4">
        <v>46301</v>
      </c>
      <c r="F17" s="3">
        <v>21419556</v>
      </c>
      <c r="G17" s="3">
        <v>20780814</v>
      </c>
      <c r="H17" s="3" t="s">
        <v>36</v>
      </c>
      <c r="I17" s="3" t="s">
        <v>37</v>
      </c>
      <c r="J17" s="3" t="s">
        <v>19</v>
      </c>
      <c r="K17" s="3" t="s">
        <v>533</v>
      </c>
      <c r="L17" s="5">
        <v>1</v>
      </c>
      <c r="M17" s="3" t="s">
        <v>534</v>
      </c>
      <c r="N17" s="3" t="s">
        <v>535</v>
      </c>
      <c r="O17" s="5">
        <v>0</v>
      </c>
      <c r="P17" s="4">
        <v>46303</v>
      </c>
      <c r="Q17" s="3" t="s">
        <v>667</v>
      </c>
      <c r="R17" s="9"/>
      <c r="S17" s="9">
        <f ca="1">IF(OR(Q17="SIN PROCESAR",Q17="SIN ENVIAR",Q17="ENVIADO SIN ENTREGAR"),(IF((NETWORKDAYS(E17,TODAY()-1,$U$2:$AA$2))&lt;0,0,(NETWORKDAYS(E17,TODAY()-1,$U$2:$AA$2)))),0)</f>
        <v>4</v>
      </c>
      <c r="T17" s="3" t="s">
        <v>675</v>
      </c>
    </row>
    <row r="18" spans="1:20" x14ac:dyDescent="0.25">
      <c r="A18" s="3" t="s">
        <v>653</v>
      </c>
      <c r="B18" s="3" t="s">
        <v>255</v>
      </c>
      <c r="C18" s="3" t="s">
        <v>532</v>
      </c>
      <c r="D18" s="3" t="s">
        <v>35</v>
      </c>
      <c r="E18" s="4">
        <v>46301</v>
      </c>
      <c r="F18" s="3">
        <v>21419556</v>
      </c>
      <c r="G18" s="3">
        <v>20780814</v>
      </c>
      <c r="H18" s="3" t="s">
        <v>36</v>
      </c>
      <c r="I18" s="3" t="s">
        <v>37</v>
      </c>
      <c r="J18" s="3" t="s">
        <v>19</v>
      </c>
      <c r="K18" s="3" t="s">
        <v>533</v>
      </c>
      <c r="L18" s="5">
        <v>1</v>
      </c>
      <c r="M18" s="3" t="s">
        <v>133</v>
      </c>
      <c r="N18" s="3" t="s">
        <v>134</v>
      </c>
      <c r="O18" s="5">
        <v>0</v>
      </c>
      <c r="P18" s="4">
        <v>46303</v>
      </c>
      <c r="Q18" s="3" t="s">
        <v>667</v>
      </c>
      <c r="R18" s="9"/>
      <c r="S18" s="9">
        <f ca="1">IF(OR(Q18="SIN PROCESAR",Q18="SIN ENVIAR",Q18="ENVIADO SIN ENTREGAR"),(IF((NETWORKDAYS(E18,TODAY()-1,$U$2:$AA$2))&lt;0,0,(NETWORKDAYS(E18,TODAY()-1,$U$2:$AA$2)))),0)</f>
        <v>4</v>
      </c>
      <c r="T18" s="3" t="s">
        <v>675</v>
      </c>
    </row>
    <row r="19" spans="1:20" x14ac:dyDescent="0.25">
      <c r="A19" s="3" t="s">
        <v>653</v>
      </c>
      <c r="B19" s="3" t="s">
        <v>255</v>
      </c>
      <c r="C19" s="3" t="s">
        <v>532</v>
      </c>
      <c r="D19" s="3" t="s">
        <v>35</v>
      </c>
      <c r="E19" s="4">
        <v>46301</v>
      </c>
      <c r="F19" s="3">
        <v>21419556</v>
      </c>
      <c r="G19" s="3">
        <v>20780814</v>
      </c>
      <c r="H19" s="3" t="s">
        <v>36</v>
      </c>
      <c r="I19" s="3" t="s">
        <v>37</v>
      </c>
      <c r="J19" s="3" t="s">
        <v>19</v>
      </c>
      <c r="K19" s="3" t="s">
        <v>533</v>
      </c>
      <c r="L19" s="5">
        <v>3</v>
      </c>
      <c r="M19" s="3" t="s">
        <v>536</v>
      </c>
      <c r="N19" s="3" t="s">
        <v>537</v>
      </c>
      <c r="O19" s="5">
        <v>0</v>
      </c>
      <c r="P19" s="4">
        <v>46303</v>
      </c>
      <c r="Q19" s="3" t="s">
        <v>667</v>
      </c>
      <c r="R19" s="9"/>
      <c r="S19" s="9">
        <f ca="1">IF(OR(Q19="SIN PROCESAR",Q19="SIN ENVIAR",Q19="ENVIADO SIN ENTREGAR"),(IF((NETWORKDAYS(E19,TODAY()-1,$U$2:$AA$2))&lt;0,0,(NETWORKDAYS(E19,TODAY()-1,$U$2:$AA$2)))),0)</f>
        <v>4</v>
      </c>
      <c r="T19" s="3" t="s">
        <v>675</v>
      </c>
    </row>
    <row r="20" spans="1:20" x14ac:dyDescent="0.25">
      <c r="A20" s="3" t="s">
        <v>653</v>
      </c>
      <c r="B20" s="3" t="s">
        <v>255</v>
      </c>
      <c r="C20" s="3" t="s">
        <v>532</v>
      </c>
      <c r="D20" s="3" t="s">
        <v>35</v>
      </c>
      <c r="E20" s="4">
        <v>46301</v>
      </c>
      <c r="F20" s="3">
        <v>21419556</v>
      </c>
      <c r="G20" s="3">
        <v>20780814</v>
      </c>
      <c r="H20" s="3" t="s">
        <v>36</v>
      </c>
      <c r="I20" s="3" t="s">
        <v>37</v>
      </c>
      <c r="J20" s="3" t="s">
        <v>19</v>
      </c>
      <c r="K20" s="3" t="s">
        <v>533</v>
      </c>
      <c r="L20" s="5">
        <v>3</v>
      </c>
      <c r="M20" s="3" t="s">
        <v>538</v>
      </c>
      <c r="N20" s="3" t="s">
        <v>539</v>
      </c>
      <c r="O20" s="5">
        <v>0</v>
      </c>
      <c r="P20" s="4">
        <v>46303</v>
      </c>
      <c r="Q20" s="3" t="s">
        <v>667</v>
      </c>
      <c r="R20" s="9"/>
      <c r="S20" s="9">
        <f ca="1">IF(OR(Q20="SIN PROCESAR",Q20="SIN ENVIAR",Q20="ENVIADO SIN ENTREGAR"),(IF((NETWORKDAYS(E20,TODAY()-1,$U$2:$AA$2))&lt;0,0,(NETWORKDAYS(E20,TODAY()-1,$U$2:$AA$2)))),0)</f>
        <v>4</v>
      </c>
      <c r="T20" s="3" t="s">
        <v>675</v>
      </c>
    </row>
    <row r="21" spans="1:20" x14ac:dyDescent="0.25">
      <c r="A21" s="3" t="s">
        <v>653</v>
      </c>
      <c r="B21" s="3" t="s">
        <v>255</v>
      </c>
      <c r="C21" s="3" t="s">
        <v>532</v>
      </c>
      <c r="D21" s="3" t="s">
        <v>35</v>
      </c>
      <c r="E21" s="4">
        <v>46301</v>
      </c>
      <c r="F21" s="3">
        <v>21419556</v>
      </c>
      <c r="G21" s="3">
        <v>20780814</v>
      </c>
      <c r="H21" s="3" t="s">
        <v>36</v>
      </c>
      <c r="I21" s="3" t="s">
        <v>37</v>
      </c>
      <c r="J21" s="3" t="s">
        <v>19</v>
      </c>
      <c r="K21" s="3" t="s">
        <v>533</v>
      </c>
      <c r="L21" s="5">
        <v>3</v>
      </c>
      <c r="M21" s="3" t="s">
        <v>540</v>
      </c>
      <c r="N21" s="3" t="s">
        <v>541</v>
      </c>
      <c r="O21" s="5">
        <v>0</v>
      </c>
      <c r="P21" s="4">
        <v>46303</v>
      </c>
      <c r="Q21" s="3" t="s">
        <v>667</v>
      </c>
      <c r="R21" s="9"/>
      <c r="S21" s="9">
        <f ca="1">IF(OR(Q21="SIN PROCESAR",Q21="SIN ENVIAR",Q21="ENVIADO SIN ENTREGAR"),(IF((NETWORKDAYS(E21,TODAY()-1,$U$2:$AA$2))&lt;0,0,(NETWORKDAYS(E21,TODAY()-1,$U$2:$AA$2)))),0)</f>
        <v>4</v>
      </c>
      <c r="T21" s="3" t="s">
        <v>675</v>
      </c>
    </row>
    <row r="22" spans="1:20" x14ac:dyDescent="0.25">
      <c r="A22" s="3" t="s">
        <v>653</v>
      </c>
      <c r="B22" s="3" t="s">
        <v>255</v>
      </c>
      <c r="C22" s="3" t="s">
        <v>532</v>
      </c>
      <c r="D22" s="3" t="s">
        <v>35</v>
      </c>
      <c r="E22" s="4">
        <v>46301</v>
      </c>
      <c r="F22" s="3">
        <v>21419556</v>
      </c>
      <c r="G22" s="3">
        <v>20780814</v>
      </c>
      <c r="H22" s="3" t="s">
        <v>36</v>
      </c>
      <c r="I22" s="3" t="s">
        <v>37</v>
      </c>
      <c r="J22" s="3" t="s">
        <v>19</v>
      </c>
      <c r="K22" s="3" t="s">
        <v>533</v>
      </c>
      <c r="L22" s="5">
        <v>3</v>
      </c>
      <c r="M22" s="3" t="s">
        <v>542</v>
      </c>
      <c r="N22" s="3" t="s">
        <v>543</v>
      </c>
      <c r="O22" s="5">
        <v>0</v>
      </c>
      <c r="P22" s="4">
        <v>46303</v>
      </c>
      <c r="Q22" s="3" t="s">
        <v>667</v>
      </c>
      <c r="R22" s="9"/>
      <c r="S22" s="9">
        <f ca="1">IF(OR(Q22="SIN PROCESAR",Q22="SIN ENVIAR",Q22="ENVIADO SIN ENTREGAR"),(IF((NETWORKDAYS(E22,TODAY()-1,$U$2:$AA$2))&lt;0,0,(NETWORKDAYS(E22,TODAY()-1,$U$2:$AA$2)))),0)</f>
        <v>4</v>
      </c>
      <c r="T22" s="3" t="s">
        <v>675</v>
      </c>
    </row>
    <row r="23" spans="1:20" x14ac:dyDescent="0.25">
      <c r="A23" s="3" t="s">
        <v>653</v>
      </c>
      <c r="B23" s="3" t="s">
        <v>255</v>
      </c>
      <c r="C23" s="3" t="s">
        <v>532</v>
      </c>
      <c r="D23" s="3" t="s">
        <v>35</v>
      </c>
      <c r="E23" s="4">
        <v>46301</v>
      </c>
      <c r="F23" s="3">
        <v>21419556</v>
      </c>
      <c r="G23" s="3">
        <v>20780814</v>
      </c>
      <c r="H23" s="3" t="s">
        <v>36</v>
      </c>
      <c r="I23" s="3" t="s">
        <v>37</v>
      </c>
      <c r="J23" s="3" t="s">
        <v>19</v>
      </c>
      <c r="K23" s="3" t="s">
        <v>533</v>
      </c>
      <c r="L23" s="5">
        <v>3</v>
      </c>
      <c r="M23" s="3" t="s">
        <v>544</v>
      </c>
      <c r="N23" s="3" t="s">
        <v>545</v>
      </c>
      <c r="O23" s="5">
        <v>0</v>
      </c>
      <c r="P23" s="4">
        <v>46303</v>
      </c>
      <c r="Q23" s="3" t="s">
        <v>667</v>
      </c>
      <c r="R23" s="9"/>
      <c r="S23" s="9">
        <f ca="1">IF(OR(Q23="SIN PROCESAR",Q23="SIN ENVIAR",Q23="ENVIADO SIN ENTREGAR"),(IF((NETWORKDAYS(E23,TODAY()-1,$U$2:$AA$2))&lt;0,0,(NETWORKDAYS(E23,TODAY()-1,$U$2:$AA$2)))),0)</f>
        <v>4</v>
      </c>
      <c r="T23" s="3" t="s">
        <v>675</v>
      </c>
    </row>
    <row r="24" spans="1:20" x14ac:dyDescent="0.25">
      <c r="A24" s="3" t="s">
        <v>625</v>
      </c>
      <c r="B24" s="3" t="s">
        <v>255</v>
      </c>
      <c r="C24" s="3" t="s">
        <v>292</v>
      </c>
      <c r="D24" s="3" t="s">
        <v>35</v>
      </c>
      <c r="E24" s="4">
        <v>46302</v>
      </c>
      <c r="F24" s="3">
        <v>21437388</v>
      </c>
      <c r="G24" s="3">
        <v>20791907</v>
      </c>
      <c r="H24" s="3" t="s">
        <v>36</v>
      </c>
      <c r="I24" s="3" t="s">
        <v>37</v>
      </c>
      <c r="J24" s="3" t="s">
        <v>19</v>
      </c>
      <c r="K24" s="3" t="s">
        <v>293</v>
      </c>
      <c r="L24" s="5">
        <v>4</v>
      </c>
      <c r="M24" s="3" t="s">
        <v>294</v>
      </c>
      <c r="N24" s="3" t="s">
        <v>295</v>
      </c>
      <c r="O24" s="5">
        <v>4</v>
      </c>
      <c r="P24" s="4">
        <v>46304</v>
      </c>
      <c r="Q24" s="3" t="s">
        <v>671</v>
      </c>
      <c r="R24" s="9">
        <v>958170</v>
      </c>
      <c r="S24" s="9">
        <f ca="1">IF(OR(Q24="SIN PROCESAR",Q24="SIN ENVIAR",Q24="ENVIADO SIN ENTREGAR"),(IF((NETWORKDAYS(E24,TODAY()-1,$U$2:$AA$2))&lt;0,0,(NETWORKDAYS(E24,TODAY()-1,$U$2:$AA$2)))),0)</f>
        <v>3</v>
      </c>
      <c r="T24" s="3" t="s">
        <v>698</v>
      </c>
    </row>
    <row r="25" spans="1:20" x14ac:dyDescent="0.25">
      <c r="A25" s="3" t="s">
        <v>638</v>
      </c>
      <c r="B25" s="3" t="s">
        <v>111</v>
      </c>
      <c r="C25" s="3" t="s">
        <v>382</v>
      </c>
      <c r="D25" s="3" t="s">
        <v>383</v>
      </c>
      <c r="E25" s="4">
        <v>46302</v>
      </c>
      <c r="F25" s="3">
        <v>21343120</v>
      </c>
      <c r="G25" s="3">
        <v>20792284</v>
      </c>
      <c r="H25" s="3" t="s">
        <v>17</v>
      </c>
      <c r="I25" s="3" t="s">
        <v>138</v>
      </c>
      <c r="J25" s="3" t="s">
        <v>50</v>
      </c>
      <c r="K25" s="3" t="s">
        <v>384</v>
      </c>
      <c r="L25" s="5">
        <v>1</v>
      </c>
      <c r="M25" s="3" t="s">
        <v>385</v>
      </c>
      <c r="N25" s="3" t="s">
        <v>69</v>
      </c>
      <c r="O25" s="5">
        <v>0</v>
      </c>
      <c r="P25" s="4">
        <v>45280</v>
      </c>
      <c r="Q25" s="3" t="s">
        <v>667</v>
      </c>
      <c r="R25" s="9"/>
      <c r="S25" s="9">
        <f ca="1">IF(OR(Q25="SIN PROCESAR",Q25="SIN ENVIAR",Q25="ENVIADO SIN ENTREGAR"),(IF((NETWORKDAYS(E25,TODAY()-1,$U$2:$AA$2))&lt;0,0,(NETWORKDAYS(E25,TODAY()-1,$U$2:$AA$2)))),0)</f>
        <v>3</v>
      </c>
      <c r="T25" s="3"/>
    </row>
    <row r="26" spans="1:20" x14ac:dyDescent="0.25">
      <c r="A26" s="3" t="s">
        <v>640</v>
      </c>
      <c r="B26" s="3" t="s">
        <v>46</v>
      </c>
      <c r="C26" s="3" t="s">
        <v>394</v>
      </c>
      <c r="D26" s="3" t="s">
        <v>395</v>
      </c>
      <c r="E26" s="4">
        <v>46302</v>
      </c>
      <c r="F26" s="3">
        <v>21435084</v>
      </c>
      <c r="G26" s="3">
        <v>20792353</v>
      </c>
      <c r="H26" s="3" t="s">
        <v>290</v>
      </c>
      <c r="I26" s="3" t="s">
        <v>187</v>
      </c>
      <c r="J26" s="3" t="s">
        <v>19</v>
      </c>
      <c r="K26" s="3" t="s">
        <v>396</v>
      </c>
      <c r="L26" s="5">
        <v>1</v>
      </c>
      <c r="M26" s="3" t="s">
        <v>397</v>
      </c>
      <c r="N26" s="3" t="s">
        <v>398</v>
      </c>
      <c r="O26" s="5">
        <v>1</v>
      </c>
      <c r="P26" s="4">
        <v>46303</v>
      </c>
      <c r="Q26" s="3" t="s">
        <v>671</v>
      </c>
      <c r="R26" s="9" t="s">
        <v>673</v>
      </c>
      <c r="S26" s="9">
        <f ca="1">IF(OR(Q26="SIN PROCESAR",Q26="SIN ENVIAR",Q26="ENVIADO SIN ENTREGAR"),(IF((NETWORKDAYS(E26,TODAY()-1,$U$2:$AA$2))&lt;0,0,(NETWORKDAYS(E26,TODAY()-1,$U$2:$AA$2)))),0)</f>
        <v>3</v>
      </c>
      <c r="T26" s="3" t="s">
        <v>711</v>
      </c>
    </row>
    <row r="27" spans="1:20" x14ac:dyDescent="0.25">
      <c r="A27" s="3" t="s">
        <v>640</v>
      </c>
      <c r="B27" s="3" t="s">
        <v>46</v>
      </c>
      <c r="C27" s="3" t="s">
        <v>394</v>
      </c>
      <c r="D27" s="3" t="s">
        <v>395</v>
      </c>
      <c r="E27" s="4">
        <v>46302</v>
      </c>
      <c r="F27" s="3">
        <v>21435084</v>
      </c>
      <c r="G27" s="3">
        <v>20792353</v>
      </c>
      <c r="H27" s="3" t="s">
        <v>290</v>
      </c>
      <c r="I27" s="3" t="s">
        <v>187</v>
      </c>
      <c r="J27" s="3" t="s">
        <v>19</v>
      </c>
      <c r="K27" s="3" t="s">
        <v>396</v>
      </c>
      <c r="L27" s="5">
        <v>1</v>
      </c>
      <c r="M27" s="3" t="s">
        <v>304</v>
      </c>
      <c r="N27" s="3" t="s">
        <v>305</v>
      </c>
      <c r="O27" s="5">
        <v>0</v>
      </c>
      <c r="P27" s="4">
        <v>46303</v>
      </c>
      <c r="Q27" s="3" t="s">
        <v>671</v>
      </c>
      <c r="R27" s="9" t="s">
        <v>673</v>
      </c>
      <c r="S27" s="9">
        <f ca="1">IF(OR(Q27="SIN PROCESAR",Q27="SIN ENVIAR",Q27="ENVIADO SIN ENTREGAR"),(IF((NETWORKDAYS(E27,TODAY()-1,$U$2:$AA$2))&lt;0,0,(NETWORKDAYS(E27,TODAY()-1,$U$2:$AA$2)))),0)</f>
        <v>3</v>
      </c>
      <c r="T27" s="3" t="s">
        <v>711</v>
      </c>
    </row>
    <row r="28" spans="1:20" x14ac:dyDescent="0.25">
      <c r="A28" s="3" t="s">
        <v>640</v>
      </c>
      <c r="B28" s="3" t="s">
        <v>46</v>
      </c>
      <c r="C28" s="3" t="s">
        <v>394</v>
      </c>
      <c r="D28" s="3" t="s">
        <v>395</v>
      </c>
      <c r="E28" s="4">
        <v>46302</v>
      </c>
      <c r="F28" s="3">
        <v>21435084</v>
      </c>
      <c r="G28" s="3">
        <v>20792353</v>
      </c>
      <c r="H28" s="3" t="s">
        <v>290</v>
      </c>
      <c r="I28" s="3" t="s">
        <v>187</v>
      </c>
      <c r="J28" s="3" t="s">
        <v>19</v>
      </c>
      <c r="K28" s="3" t="s">
        <v>396</v>
      </c>
      <c r="L28" s="5">
        <v>1</v>
      </c>
      <c r="M28" s="3" t="s">
        <v>304</v>
      </c>
      <c r="N28" s="3" t="s">
        <v>305</v>
      </c>
      <c r="O28" s="5">
        <v>1</v>
      </c>
      <c r="P28" s="4">
        <v>46303</v>
      </c>
      <c r="Q28" s="3" t="s">
        <v>671</v>
      </c>
      <c r="R28" s="9" t="s">
        <v>673</v>
      </c>
      <c r="S28" s="9">
        <f ca="1">IF(OR(Q28="SIN PROCESAR",Q28="SIN ENVIAR",Q28="ENVIADO SIN ENTREGAR"),(IF((NETWORKDAYS(E28,TODAY()-1,$U$2:$AA$2))&lt;0,0,(NETWORKDAYS(E28,TODAY()-1,$U$2:$AA$2)))),0)</f>
        <v>3</v>
      </c>
      <c r="T28" s="3" t="s">
        <v>711</v>
      </c>
    </row>
    <row r="29" spans="1:20" x14ac:dyDescent="0.25">
      <c r="A29" s="3" t="s">
        <v>640</v>
      </c>
      <c r="B29" s="3" t="s">
        <v>46</v>
      </c>
      <c r="C29" s="3" t="s">
        <v>394</v>
      </c>
      <c r="D29" s="3" t="s">
        <v>395</v>
      </c>
      <c r="E29" s="4">
        <v>46302</v>
      </c>
      <c r="F29" s="3">
        <v>21435084</v>
      </c>
      <c r="G29" s="3">
        <v>20792353</v>
      </c>
      <c r="H29" s="3" t="s">
        <v>290</v>
      </c>
      <c r="I29" s="3" t="s">
        <v>187</v>
      </c>
      <c r="J29" s="3" t="s">
        <v>19</v>
      </c>
      <c r="K29" s="3" t="s">
        <v>396</v>
      </c>
      <c r="L29" s="5">
        <v>2</v>
      </c>
      <c r="M29" s="3" t="s">
        <v>399</v>
      </c>
      <c r="N29" s="3" t="s">
        <v>400</v>
      </c>
      <c r="O29" s="5">
        <v>2</v>
      </c>
      <c r="P29" s="4">
        <v>46303</v>
      </c>
      <c r="Q29" s="3" t="s">
        <v>671</v>
      </c>
      <c r="R29" s="9" t="s">
        <v>673</v>
      </c>
      <c r="S29" s="9">
        <f ca="1">IF(OR(Q29="SIN PROCESAR",Q29="SIN ENVIAR",Q29="ENVIADO SIN ENTREGAR"),(IF((NETWORKDAYS(E29,TODAY()-1,$U$2:$AA$2))&lt;0,0,(NETWORKDAYS(E29,TODAY()-1,$U$2:$AA$2)))),0)</f>
        <v>3</v>
      </c>
      <c r="T29" s="3" t="s">
        <v>711</v>
      </c>
    </row>
    <row r="30" spans="1:20" x14ac:dyDescent="0.25">
      <c r="A30" s="3" t="s">
        <v>640</v>
      </c>
      <c r="B30" s="3" t="s">
        <v>46</v>
      </c>
      <c r="C30" s="3" t="s">
        <v>394</v>
      </c>
      <c r="D30" s="3" t="s">
        <v>395</v>
      </c>
      <c r="E30" s="4">
        <v>46302</v>
      </c>
      <c r="F30" s="3">
        <v>21435084</v>
      </c>
      <c r="G30" s="3">
        <v>20792353</v>
      </c>
      <c r="H30" s="3" t="s">
        <v>290</v>
      </c>
      <c r="I30" s="3" t="s">
        <v>187</v>
      </c>
      <c r="J30" s="3" t="s">
        <v>19</v>
      </c>
      <c r="K30" s="3" t="s">
        <v>396</v>
      </c>
      <c r="L30" s="5">
        <v>2</v>
      </c>
      <c r="M30" s="3" t="s">
        <v>52</v>
      </c>
      <c r="N30" s="3" t="s">
        <v>53</v>
      </c>
      <c r="O30" s="5">
        <v>0</v>
      </c>
      <c r="P30" s="4">
        <v>46303</v>
      </c>
      <c r="Q30" s="3" t="s">
        <v>671</v>
      </c>
      <c r="R30" s="9" t="s">
        <v>673</v>
      </c>
      <c r="S30" s="9">
        <f ca="1">IF(OR(Q30="SIN PROCESAR",Q30="SIN ENVIAR",Q30="ENVIADO SIN ENTREGAR"),(IF((NETWORKDAYS(E30,TODAY()-1,$U$2:$AA$2))&lt;0,0,(NETWORKDAYS(E30,TODAY()-1,$U$2:$AA$2)))),0)</f>
        <v>3</v>
      </c>
      <c r="T30" s="3" t="s">
        <v>711</v>
      </c>
    </row>
    <row r="31" spans="1:20" x14ac:dyDescent="0.25">
      <c r="A31" s="3" t="s">
        <v>640</v>
      </c>
      <c r="B31" s="3" t="s">
        <v>46</v>
      </c>
      <c r="C31" s="3" t="s">
        <v>394</v>
      </c>
      <c r="D31" s="3" t="s">
        <v>395</v>
      </c>
      <c r="E31" s="4">
        <v>46302</v>
      </c>
      <c r="F31" s="3">
        <v>21435084</v>
      </c>
      <c r="G31" s="3">
        <v>20792353</v>
      </c>
      <c r="H31" s="3" t="s">
        <v>290</v>
      </c>
      <c r="I31" s="3" t="s">
        <v>187</v>
      </c>
      <c r="J31" s="3" t="s">
        <v>19</v>
      </c>
      <c r="K31" s="3" t="s">
        <v>396</v>
      </c>
      <c r="L31" s="5">
        <v>2</v>
      </c>
      <c r="M31" s="3" t="s">
        <v>54</v>
      </c>
      <c r="N31" s="3" t="s">
        <v>55</v>
      </c>
      <c r="O31" s="5">
        <v>2</v>
      </c>
      <c r="P31" s="4">
        <v>46303</v>
      </c>
      <c r="Q31" s="3" t="s">
        <v>671</v>
      </c>
      <c r="R31" s="9" t="s">
        <v>673</v>
      </c>
      <c r="S31" s="9">
        <f ca="1">IF(OR(Q31="SIN PROCESAR",Q31="SIN ENVIAR",Q31="ENVIADO SIN ENTREGAR"),(IF((NETWORKDAYS(E31,TODAY()-1,$U$2:$AA$2))&lt;0,0,(NETWORKDAYS(E31,TODAY()-1,$U$2:$AA$2)))),0)</f>
        <v>3</v>
      </c>
      <c r="T31" s="3" t="s">
        <v>711</v>
      </c>
    </row>
    <row r="32" spans="1:20" x14ac:dyDescent="0.25">
      <c r="A32" s="3" t="s">
        <v>640</v>
      </c>
      <c r="B32" s="3" t="s">
        <v>46</v>
      </c>
      <c r="C32" s="3" t="s">
        <v>394</v>
      </c>
      <c r="D32" s="3" t="s">
        <v>395</v>
      </c>
      <c r="E32" s="4">
        <v>46302</v>
      </c>
      <c r="F32" s="3">
        <v>21435084</v>
      </c>
      <c r="G32" s="3">
        <v>20792353</v>
      </c>
      <c r="H32" s="3" t="s">
        <v>290</v>
      </c>
      <c r="I32" s="3" t="s">
        <v>187</v>
      </c>
      <c r="J32" s="3" t="s">
        <v>19</v>
      </c>
      <c r="K32" s="3" t="s">
        <v>396</v>
      </c>
      <c r="L32" s="5">
        <v>2</v>
      </c>
      <c r="M32" s="3" t="s">
        <v>133</v>
      </c>
      <c r="N32" s="3" t="s">
        <v>134</v>
      </c>
      <c r="O32" s="5">
        <v>2</v>
      </c>
      <c r="P32" s="4">
        <v>46303</v>
      </c>
      <c r="Q32" s="3" t="s">
        <v>671</v>
      </c>
      <c r="R32" s="9" t="s">
        <v>673</v>
      </c>
      <c r="S32" s="9">
        <f ca="1">IF(OR(Q32="SIN PROCESAR",Q32="SIN ENVIAR",Q32="ENVIADO SIN ENTREGAR"),(IF((NETWORKDAYS(E32,TODAY()-1,$U$2:$AA$2))&lt;0,0,(NETWORKDAYS(E32,TODAY()-1,$U$2:$AA$2)))),0)</f>
        <v>3</v>
      </c>
      <c r="T32" s="3" t="s">
        <v>711</v>
      </c>
    </row>
    <row r="33" spans="1:20" x14ac:dyDescent="0.25">
      <c r="A33" s="3" t="s">
        <v>640</v>
      </c>
      <c r="B33" s="3" t="s">
        <v>46</v>
      </c>
      <c r="C33" s="3" t="s">
        <v>394</v>
      </c>
      <c r="D33" s="3" t="s">
        <v>395</v>
      </c>
      <c r="E33" s="4">
        <v>46302</v>
      </c>
      <c r="F33" s="3">
        <v>21435084</v>
      </c>
      <c r="G33" s="3">
        <v>20792353</v>
      </c>
      <c r="H33" s="3" t="s">
        <v>290</v>
      </c>
      <c r="I33" s="3" t="s">
        <v>187</v>
      </c>
      <c r="J33" s="3" t="s">
        <v>19</v>
      </c>
      <c r="K33" s="3" t="s">
        <v>396</v>
      </c>
      <c r="L33" s="5">
        <v>2</v>
      </c>
      <c r="M33" s="3" t="s">
        <v>401</v>
      </c>
      <c r="N33" s="3" t="s">
        <v>402</v>
      </c>
      <c r="O33" s="5">
        <v>2</v>
      </c>
      <c r="P33" s="4">
        <v>46303</v>
      </c>
      <c r="Q33" s="3" t="s">
        <v>671</v>
      </c>
      <c r="R33" s="9" t="s">
        <v>673</v>
      </c>
      <c r="S33" s="9">
        <f ca="1">IF(OR(Q33="SIN PROCESAR",Q33="SIN ENVIAR",Q33="ENVIADO SIN ENTREGAR"),(IF((NETWORKDAYS(E33,TODAY()-1,$U$2:$AA$2))&lt;0,0,(NETWORKDAYS(E33,TODAY()-1,$U$2:$AA$2)))),0)</f>
        <v>3</v>
      </c>
      <c r="T33" s="3" t="s">
        <v>711</v>
      </c>
    </row>
    <row r="34" spans="1:20" x14ac:dyDescent="0.25">
      <c r="A34" s="3" t="s">
        <v>640</v>
      </c>
      <c r="B34" s="3" t="s">
        <v>46</v>
      </c>
      <c r="C34" s="3" t="s">
        <v>394</v>
      </c>
      <c r="D34" s="3" t="s">
        <v>395</v>
      </c>
      <c r="E34" s="4">
        <v>46302</v>
      </c>
      <c r="F34" s="3">
        <v>21435084</v>
      </c>
      <c r="G34" s="3">
        <v>20792353</v>
      </c>
      <c r="H34" s="3" t="s">
        <v>290</v>
      </c>
      <c r="I34" s="3" t="s">
        <v>187</v>
      </c>
      <c r="J34" s="3" t="s">
        <v>19</v>
      </c>
      <c r="K34" s="3" t="s">
        <v>396</v>
      </c>
      <c r="L34" s="5">
        <v>4</v>
      </c>
      <c r="M34" s="3" t="s">
        <v>173</v>
      </c>
      <c r="N34" s="3" t="s">
        <v>174</v>
      </c>
      <c r="O34" s="5">
        <v>4</v>
      </c>
      <c r="P34" s="4">
        <v>46303</v>
      </c>
      <c r="Q34" s="3" t="s">
        <v>671</v>
      </c>
      <c r="R34" s="9" t="s">
        <v>673</v>
      </c>
      <c r="S34" s="9">
        <f ca="1">IF(OR(Q34="SIN PROCESAR",Q34="SIN ENVIAR",Q34="ENVIADO SIN ENTREGAR"),(IF((NETWORKDAYS(E34,TODAY()-1,$U$2:$AA$2))&lt;0,0,(NETWORKDAYS(E34,TODAY()-1,$U$2:$AA$2)))),0)</f>
        <v>3</v>
      </c>
      <c r="T34" s="3" t="s">
        <v>711</v>
      </c>
    </row>
    <row r="35" spans="1:20" x14ac:dyDescent="0.25">
      <c r="A35" s="3" t="s">
        <v>640</v>
      </c>
      <c r="B35" s="3" t="s">
        <v>46</v>
      </c>
      <c r="C35" s="3" t="s">
        <v>394</v>
      </c>
      <c r="D35" s="3" t="s">
        <v>395</v>
      </c>
      <c r="E35" s="4">
        <v>46302</v>
      </c>
      <c r="F35" s="3">
        <v>21435084</v>
      </c>
      <c r="G35" s="3">
        <v>20792353</v>
      </c>
      <c r="H35" s="3" t="s">
        <v>290</v>
      </c>
      <c r="I35" s="3" t="s">
        <v>187</v>
      </c>
      <c r="J35" s="3" t="s">
        <v>19</v>
      </c>
      <c r="K35" s="3" t="s">
        <v>396</v>
      </c>
      <c r="L35" s="5">
        <v>4</v>
      </c>
      <c r="M35" s="3" t="s">
        <v>175</v>
      </c>
      <c r="N35" s="3" t="s">
        <v>176</v>
      </c>
      <c r="O35" s="5">
        <v>4</v>
      </c>
      <c r="P35" s="4">
        <v>46303</v>
      </c>
      <c r="Q35" s="3" t="s">
        <v>671</v>
      </c>
      <c r="R35" s="9" t="s">
        <v>673</v>
      </c>
      <c r="S35" s="9">
        <f ca="1">IF(OR(Q35="SIN PROCESAR",Q35="SIN ENVIAR",Q35="ENVIADO SIN ENTREGAR"),(IF((NETWORKDAYS(E35,TODAY()-1,$U$2:$AA$2))&lt;0,0,(NETWORKDAYS(E35,TODAY()-1,$U$2:$AA$2)))),0)</f>
        <v>3</v>
      </c>
      <c r="T35" s="3" t="s">
        <v>711</v>
      </c>
    </row>
    <row r="36" spans="1:20" x14ac:dyDescent="0.25">
      <c r="A36" s="3" t="s">
        <v>640</v>
      </c>
      <c r="B36" s="3" t="s">
        <v>46</v>
      </c>
      <c r="C36" s="3" t="s">
        <v>394</v>
      </c>
      <c r="D36" s="3" t="s">
        <v>395</v>
      </c>
      <c r="E36" s="4">
        <v>46302</v>
      </c>
      <c r="F36" s="3">
        <v>21435084</v>
      </c>
      <c r="G36" s="3">
        <v>20792353</v>
      </c>
      <c r="H36" s="3" t="s">
        <v>290</v>
      </c>
      <c r="I36" s="3" t="s">
        <v>187</v>
      </c>
      <c r="J36" s="3" t="s">
        <v>19</v>
      </c>
      <c r="K36" s="3" t="s">
        <v>396</v>
      </c>
      <c r="L36" s="5">
        <v>6</v>
      </c>
      <c r="M36" s="3" t="s">
        <v>403</v>
      </c>
      <c r="N36" s="3" t="s">
        <v>404</v>
      </c>
      <c r="O36" s="5">
        <v>6</v>
      </c>
      <c r="P36" s="4">
        <v>46303</v>
      </c>
      <c r="Q36" s="3" t="s">
        <v>671</v>
      </c>
      <c r="R36" s="9" t="s">
        <v>673</v>
      </c>
      <c r="S36" s="9">
        <f ca="1">IF(OR(Q36="SIN PROCESAR",Q36="SIN ENVIAR",Q36="ENVIADO SIN ENTREGAR"),(IF((NETWORKDAYS(E36,TODAY()-1,$U$2:$AA$2))&lt;0,0,(NETWORKDAYS(E36,TODAY()-1,$U$2:$AA$2)))),0)</f>
        <v>3</v>
      </c>
      <c r="T36" s="3" t="s">
        <v>711</v>
      </c>
    </row>
    <row r="37" spans="1:20" x14ac:dyDescent="0.25">
      <c r="A37" s="3" t="s">
        <v>650</v>
      </c>
      <c r="B37" s="3" t="s">
        <v>508</v>
      </c>
      <c r="C37" s="3" t="s">
        <v>509</v>
      </c>
      <c r="D37" s="3" t="s">
        <v>510</v>
      </c>
      <c r="E37" s="4">
        <v>46302</v>
      </c>
      <c r="F37" s="3">
        <v>21441074</v>
      </c>
      <c r="G37" s="3">
        <v>20792267</v>
      </c>
      <c r="H37" s="3" t="s">
        <v>78</v>
      </c>
      <c r="I37" s="3" t="s">
        <v>49</v>
      </c>
      <c r="J37" s="3" t="s">
        <v>19</v>
      </c>
      <c r="K37" s="3" t="s">
        <v>511</v>
      </c>
      <c r="L37" s="5">
        <v>1</v>
      </c>
      <c r="M37" s="3" t="s">
        <v>512</v>
      </c>
      <c r="N37" s="3" t="s">
        <v>513</v>
      </c>
      <c r="O37" s="5">
        <v>1</v>
      </c>
      <c r="P37" s="4">
        <v>46304</v>
      </c>
      <c r="Q37" s="3" t="s">
        <v>671</v>
      </c>
      <c r="R37" s="9">
        <v>958152</v>
      </c>
      <c r="S37" s="9">
        <f ca="1">IF(OR(Q37="SIN PROCESAR",Q37="SIN ENVIAR",Q37="ENVIADO SIN ENTREGAR"),(IF((NETWORKDAYS(E37,TODAY()-1,$U$2:$AA$2))&lt;0,0,(NETWORKDAYS(E37,TODAY()-1,$U$2:$AA$2)))),0)</f>
        <v>3</v>
      </c>
      <c r="T37" s="3" t="s">
        <v>727</v>
      </c>
    </row>
    <row r="38" spans="1:20" x14ac:dyDescent="0.25">
      <c r="A38" s="3" t="s">
        <v>651</v>
      </c>
      <c r="B38" s="3" t="s">
        <v>46</v>
      </c>
      <c r="C38" s="3" t="s">
        <v>514</v>
      </c>
      <c r="D38" s="3" t="s">
        <v>144</v>
      </c>
      <c r="E38" s="4">
        <v>46302</v>
      </c>
      <c r="F38" s="3">
        <v>21439912</v>
      </c>
      <c r="G38" s="3">
        <v>20792444</v>
      </c>
      <c r="H38" s="3" t="s">
        <v>36</v>
      </c>
      <c r="I38" s="3" t="s">
        <v>42</v>
      </c>
      <c r="J38" s="3" t="s">
        <v>19</v>
      </c>
      <c r="K38" s="3" t="s">
        <v>515</v>
      </c>
      <c r="L38" s="5">
        <v>1</v>
      </c>
      <c r="M38" s="3" t="s">
        <v>516</v>
      </c>
      <c r="N38" s="3" t="s">
        <v>517</v>
      </c>
      <c r="O38" s="5">
        <v>1</v>
      </c>
      <c r="P38" s="4">
        <v>46304</v>
      </c>
      <c r="Q38" s="3" t="s">
        <v>671</v>
      </c>
      <c r="R38" s="9">
        <v>958155</v>
      </c>
      <c r="S38" s="9">
        <f ca="1">IF(OR(Q38="SIN PROCESAR",Q38="SIN ENVIAR",Q38="ENVIADO SIN ENTREGAR"),(IF((NETWORKDAYS(E38,TODAY()-1,$U$2:$AA$2))&lt;0,0,(NETWORKDAYS(E38,TODAY()-1,$U$2:$AA$2)))),0)</f>
        <v>3</v>
      </c>
      <c r="T38" s="3" t="s">
        <v>728</v>
      </c>
    </row>
    <row r="39" spans="1:20" x14ac:dyDescent="0.25">
      <c r="A39" s="3" t="s">
        <v>651</v>
      </c>
      <c r="B39" s="3" t="s">
        <v>46</v>
      </c>
      <c r="C39" s="3" t="s">
        <v>514</v>
      </c>
      <c r="D39" s="3" t="s">
        <v>144</v>
      </c>
      <c r="E39" s="4">
        <v>46302</v>
      </c>
      <c r="F39" s="3">
        <v>21439912</v>
      </c>
      <c r="G39" s="3">
        <v>20792444</v>
      </c>
      <c r="H39" s="3" t="s">
        <v>36</v>
      </c>
      <c r="I39" s="3" t="s">
        <v>42</v>
      </c>
      <c r="J39" s="3" t="s">
        <v>19</v>
      </c>
      <c r="K39" s="3" t="s">
        <v>515</v>
      </c>
      <c r="L39" s="5">
        <v>1</v>
      </c>
      <c r="M39" s="3" t="s">
        <v>518</v>
      </c>
      <c r="N39" s="3" t="s">
        <v>519</v>
      </c>
      <c r="O39" s="5">
        <v>1</v>
      </c>
      <c r="P39" s="4">
        <v>46304</v>
      </c>
      <c r="Q39" s="3" t="s">
        <v>671</v>
      </c>
      <c r="R39" s="9">
        <v>958155</v>
      </c>
      <c r="S39" s="9">
        <f ca="1">IF(OR(Q39="SIN PROCESAR",Q39="SIN ENVIAR",Q39="ENVIADO SIN ENTREGAR"),(IF((NETWORKDAYS(E39,TODAY()-1,$U$2:$AA$2))&lt;0,0,(NETWORKDAYS(E39,TODAY()-1,$U$2:$AA$2)))),0)</f>
        <v>3</v>
      </c>
      <c r="T39" s="3" t="s">
        <v>728</v>
      </c>
    </row>
    <row r="40" spans="1:20" x14ac:dyDescent="0.25">
      <c r="A40" s="3" t="s">
        <v>655</v>
      </c>
      <c r="B40" s="3" t="s">
        <v>232</v>
      </c>
      <c r="C40" s="3" t="s">
        <v>562</v>
      </c>
      <c r="D40" s="3" t="s">
        <v>362</v>
      </c>
      <c r="E40" s="4">
        <v>46302</v>
      </c>
      <c r="F40" s="3">
        <v>21295478</v>
      </c>
      <c r="G40" s="3">
        <v>20792339</v>
      </c>
      <c r="H40" s="3" t="s">
        <v>36</v>
      </c>
      <c r="I40" s="3" t="s">
        <v>18</v>
      </c>
      <c r="J40" s="3" t="s">
        <v>19</v>
      </c>
      <c r="K40" s="3" t="s">
        <v>563</v>
      </c>
      <c r="L40" s="5">
        <v>1</v>
      </c>
      <c r="M40" s="3" t="s">
        <v>564</v>
      </c>
      <c r="N40" s="3" t="s">
        <v>565</v>
      </c>
      <c r="O40" s="5">
        <v>0</v>
      </c>
      <c r="P40" s="4">
        <v>46304</v>
      </c>
      <c r="Q40" s="3" t="s">
        <v>667</v>
      </c>
      <c r="R40" s="9"/>
      <c r="S40" s="9">
        <f ca="1">IF(OR(Q40="SIN PROCESAR",Q40="SIN ENVIAR",Q40="ENVIADO SIN ENTREGAR"),(IF((NETWORKDAYS(E40,TODAY()-1,$U$2:$AA$2))&lt;0,0,(NETWORKDAYS(E40,TODAY()-1,$U$2:$AA$2)))),0)</f>
        <v>3</v>
      </c>
      <c r="T40" s="3" t="s">
        <v>675</v>
      </c>
    </row>
    <row r="41" spans="1:20" x14ac:dyDescent="0.25">
      <c r="A41" s="3" t="s">
        <v>659</v>
      </c>
      <c r="B41" s="3" t="s">
        <v>118</v>
      </c>
      <c r="C41" s="3" t="s">
        <v>597</v>
      </c>
      <c r="D41" s="3" t="s">
        <v>35</v>
      </c>
      <c r="E41" s="4">
        <v>46302</v>
      </c>
      <c r="F41" s="3">
        <v>21441182</v>
      </c>
      <c r="G41" s="3">
        <v>20792300</v>
      </c>
      <c r="H41" s="3" t="s">
        <v>36</v>
      </c>
      <c r="I41" s="3" t="s">
        <v>42</v>
      </c>
      <c r="J41" s="3" t="s">
        <v>19</v>
      </c>
      <c r="K41" s="3" t="s">
        <v>598</v>
      </c>
      <c r="L41" s="5">
        <v>1</v>
      </c>
      <c r="M41" s="3" t="s">
        <v>177</v>
      </c>
      <c r="N41" s="3" t="s">
        <v>178</v>
      </c>
      <c r="O41" s="5">
        <v>0</v>
      </c>
      <c r="P41" s="4">
        <v>46300</v>
      </c>
      <c r="Q41" s="3" t="s">
        <v>667</v>
      </c>
      <c r="R41" s="9"/>
      <c r="S41" s="9">
        <f ca="1">IF(OR(Q41="SIN PROCESAR",Q41="SIN ENVIAR",Q41="ENVIADO SIN ENTREGAR"),(IF((NETWORKDAYS(E41,TODAY()-1,$U$2:$AA$2))&lt;0,0,(NETWORKDAYS(E41,TODAY()-1,$U$2:$AA$2)))),0)</f>
        <v>3</v>
      </c>
      <c r="T41" s="3" t="s">
        <v>733</v>
      </c>
    </row>
    <row r="42" spans="1:20" x14ac:dyDescent="0.25">
      <c r="A42" s="3" t="s">
        <v>659</v>
      </c>
      <c r="B42" s="3" t="s">
        <v>118</v>
      </c>
      <c r="C42" s="3" t="s">
        <v>597</v>
      </c>
      <c r="D42" s="3" t="s">
        <v>35</v>
      </c>
      <c r="E42" s="4">
        <v>46302</v>
      </c>
      <c r="F42" s="3">
        <v>21441182</v>
      </c>
      <c r="G42" s="3">
        <v>20792300</v>
      </c>
      <c r="H42" s="3" t="s">
        <v>36</v>
      </c>
      <c r="I42" s="3" t="s">
        <v>42</v>
      </c>
      <c r="J42" s="3" t="s">
        <v>19</v>
      </c>
      <c r="K42" s="3" t="s">
        <v>598</v>
      </c>
      <c r="L42" s="5">
        <v>1</v>
      </c>
      <c r="M42" s="3" t="s">
        <v>599</v>
      </c>
      <c r="N42" s="3" t="s">
        <v>600</v>
      </c>
      <c r="O42" s="5">
        <v>0</v>
      </c>
      <c r="P42" s="4">
        <v>46300</v>
      </c>
      <c r="Q42" s="3" t="s">
        <v>667</v>
      </c>
      <c r="R42" s="9"/>
      <c r="S42" s="9">
        <f ca="1">IF(OR(Q42="SIN PROCESAR",Q42="SIN ENVIAR",Q42="ENVIADO SIN ENTREGAR"),(IF((NETWORKDAYS(E42,TODAY()-1,$U$2:$AA$2))&lt;0,0,(NETWORKDAYS(E42,TODAY()-1,$U$2:$AA$2)))),0)</f>
        <v>3</v>
      </c>
      <c r="T42" s="3" t="s">
        <v>733</v>
      </c>
    </row>
    <row r="43" spans="1:20" x14ac:dyDescent="0.25">
      <c r="A43" s="3" t="s">
        <v>659</v>
      </c>
      <c r="B43" s="3" t="s">
        <v>118</v>
      </c>
      <c r="C43" s="3" t="s">
        <v>597</v>
      </c>
      <c r="D43" s="3" t="s">
        <v>35</v>
      </c>
      <c r="E43" s="4">
        <v>46302</v>
      </c>
      <c r="F43" s="3">
        <v>21441182</v>
      </c>
      <c r="G43" s="3">
        <v>20792300</v>
      </c>
      <c r="H43" s="3" t="s">
        <v>36</v>
      </c>
      <c r="I43" s="3" t="s">
        <v>42</v>
      </c>
      <c r="J43" s="3" t="s">
        <v>19</v>
      </c>
      <c r="K43" s="3" t="s">
        <v>598</v>
      </c>
      <c r="L43" s="5">
        <v>1</v>
      </c>
      <c r="M43" s="3" t="s">
        <v>401</v>
      </c>
      <c r="N43" s="3" t="s">
        <v>402</v>
      </c>
      <c r="O43" s="5">
        <v>0</v>
      </c>
      <c r="P43" s="4">
        <v>46300</v>
      </c>
      <c r="Q43" s="3" t="s">
        <v>667</v>
      </c>
      <c r="R43" s="9"/>
      <c r="S43" s="9">
        <f ca="1">IF(OR(Q43="SIN PROCESAR",Q43="SIN ENVIAR",Q43="ENVIADO SIN ENTREGAR"),(IF((NETWORKDAYS(E43,TODAY()-1,$U$2:$AA$2))&lt;0,0,(NETWORKDAYS(E43,TODAY()-1,$U$2:$AA$2)))),0)</f>
        <v>3</v>
      </c>
      <c r="T43" s="3" t="s">
        <v>733</v>
      </c>
    </row>
    <row r="44" spans="1:20" x14ac:dyDescent="0.25">
      <c r="A44" s="3" t="s">
        <v>659</v>
      </c>
      <c r="B44" s="3" t="s">
        <v>118</v>
      </c>
      <c r="C44" s="3" t="s">
        <v>597</v>
      </c>
      <c r="D44" s="3" t="s">
        <v>35</v>
      </c>
      <c r="E44" s="4">
        <v>46302</v>
      </c>
      <c r="F44" s="3">
        <v>21441182</v>
      </c>
      <c r="G44" s="3">
        <v>20792300</v>
      </c>
      <c r="H44" s="3" t="s">
        <v>36</v>
      </c>
      <c r="I44" s="3" t="s">
        <v>42</v>
      </c>
      <c r="J44" s="3" t="s">
        <v>19</v>
      </c>
      <c r="K44" s="3" t="s">
        <v>598</v>
      </c>
      <c r="L44" s="5">
        <v>3</v>
      </c>
      <c r="M44" s="3" t="s">
        <v>179</v>
      </c>
      <c r="N44" s="3" t="s">
        <v>180</v>
      </c>
      <c r="O44" s="5">
        <v>0</v>
      </c>
      <c r="P44" s="4">
        <v>46300</v>
      </c>
      <c r="Q44" s="3" t="s">
        <v>667</v>
      </c>
      <c r="R44" s="9"/>
      <c r="S44" s="9">
        <f ca="1">IF(OR(Q44="SIN PROCESAR",Q44="SIN ENVIAR",Q44="ENVIADO SIN ENTREGAR"),(IF((NETWORKDAYS(E44,TODAY()-1,$U$2:$AA$2))&lt;0,0,(NETWORKDAYS(E44,TODAY()-1,$U$2:$AA$2)))),0)</f>
        <v>3</v>
      </c>
      <c r="T44" s="3" t="s">
        <v>733</v>
      </c>
    </row>
    <row r="45" spans="1:20" x14ac:dyDescent="0.25">
      <c r="A45" s="3" t="s">
        <v>659</v>
      </c>
      <c r="B45" s="3" t="s">
        <v>118</v>
      </c>
      <c r="C45" s="3" t="s">
        <v>597</v>
      </c>
      <c r="D45" s="3" t="s">
        <v>35</v>
      </c>
      <c r="E45" s="4">
        <v>46302</v>
      </c>
      <c r="F45" s="3">
        <v>21441182</v>
      </c>
      <c r="G45" s="3">
        <v>20792300</v>
      </c>
      <c r="H45" s="3" t="s">
        <v>36</v>
      </c>
      <c r="I45" s="3" t="s">
        <v>42</v>
      </c>
      <c r="J45" s="3" t="s">
        <v>19</v>
      </c>
      <c r="K45" s="3" t="s">
        <v>598</v>
      </c>
      <c r="L45" s="5">
        <v>3</v>
      </c>
      <c r="M45" s="3" t="s">
        <v>52</v>
      </c>
      <c r="N45" s="3" t="s">
        <v>53</v>
      </c>
      <c r="O45" s="5">
        <v>0</v>
      </c>
      <c r="P45" s="4">
        <v>46300</v>
      </c>
      <c r="Q45" s="3" t="s">
        <v>667</v>
      </c>
      <c r="R45" s="9"/>
      <c r="S45" s="9">
        <f ca="1">IF(OR(Q45="SIN PROCESAR",Q45="SIN ENVIAR",Q45="ENVIADO SIN ENTREGAR"),(IF((NETWORKDAYS(E45,TODAY()-1,$U$2:$AA$2))&lt;0,0,(NETWORKDAYS(E45,TODAY()-1,$U$2:$AA$2)))),0)</f>
        <v>3</v>
      </c>
      <c r="T45" s="3" t="s">
        <v>733</v>
      </c>
    </row>
    <row r="46" spans="1:20" x14ac:dyDescent="0.25">
      <c r="A46" s="3" t="s">
        <v>610</v>
      </c>
      <c r="B46" s="3" t="s">
        <v>23</v>
      </c>
      <c r="C46" s="3" t="s">
        <v>24</v>
      </c>
      <c r="D46" s="3" t="s">
        <v>25</v>
      </c>
      <c r="E46" s="4">
        <v>46303</v>
      </c>
      <c r="F46" s="3">
        <v>21400570</v>
      </c>
      <c r="G46" s="3">
        <v>20799812</v>
      </c>
      <c r="H46" s="3" t="s">
        <v>17</v>
      </c>
      <c r="I46" s="3" t="s">
        <v>18</v>
      </c>
      <c r="J46" s="3" t="s">
        <v>19</v>
      </c>
      <c r="K46" s="3" t="s">
        <v>26</v>
      </c>
      <c r="L46" s="5">
        <v>1</v>
      </c>
      <c r="M46" s="3" t="s">
        <v>27</v>
      </c>
      <c r="N46" s="3" t="s">
        <v>28</v>
      </c>
      <c r="O46" s="5">
        <v>0</v>
      </c>
      <c r="P46" s="4">
        <v>46304</v>
      </c>
      <c r="Q46" s="3" t="s">
        <v>667</v>
      </c>
      <c r="R46" s="9"/>
      <c r="S46" s="9">
        <f ca="1">IF(OR(Q46="SIN PROCESAR",Q46="SIN ENVIAR",Q46="ENVIADO SIN ENTREGAR"),(IF((NETWORKDAYS(E46,TODAY()-1,$U$2:$AA$2))&lt;0,0,(NETWORKDAYS(E46,TODAY()-1,$U$2:$AA$2)))),0)</f>
        <v>2</v>
      </c>
      <c r="T46" s="3" t="s">
        <v>675</v>
      </c>
    </row>
    <row r="47" spans="1:20" x14ac:dyDescent="0.25">
      <c r="A47" s="3" t="s">
        <v>610</v>
      </c>
      <c r="B47" s="3" t="s">
        <v>23</v>
      </c>
      <c r="C47" s="3" t="s">
        <v>24</v>
      </c>
      <c r="D47" s="3" t="s">
        <v>25</v>
      </c>
      <c r="E47" s="4">
        <v>46303</v>
      </c>
      <c r="F47" s="3">
        <v>21400570</v>
      </c>
      <c r="G47" s="3">
        <v>20799812</v>
      </c>
      <c r="H47" s="3" t="s">
        <v>17</v>
      </c>
      <c r="I47" s="3" t="s">
        <v>18</v>
      </c>
      <c r="J47" s="3" t="s">
        <v>19</v>
      </c>
      <c r="K47" s="3" t="s">
        <v>26</v>
      </c>
      <c r="L47" s="5">
        <v>1</v>
      </c>
      <c r="M47" s="3" t="s">
        <v>29</v>
      </c>
      <c r="N47" s="3" t="s">
        <v>30</v>
      </c>
      <c r="O47" s="5">
        <v>0</v>
      </c>
      <c r="P47" s="4">
        <v>46304</v>
      </c>
      <c r="Q47" s="3" t="s">
        <v>667</v>
      </c>
      <c r="R47" s="9"/>
      <c r="S47" s="9">
        <f ca="1">IF(OR(Q47="SIN PROCESAR",Q47="SIN ENVIAR",Q47="ENVIADO SIN ENTREGAR"),(IF((NETWORKDAYS(E47,TODAY()-1,$U$2:$AA$2))&lt;0,0,(NETWORKDAYS(E47,TODAY()-1,$U$2:$AA$2)))),0)</f>
        <v>2</v>
      </c>
      <c r="T47" s="3" t="s">
        <v>675</v>
      </c>
    </row>
    <row r="48" spans="1:20" x14ac:dyDescent="0.25">
      <c r="A48" s="3" t="s">
        <v>610</v>
      </c>
      <c r="B48" s="3" t="s">
        <v>23</v>
      </c>
      <c r="C48" s="3" t="s">
        <v>24</v>
      </c>
      <c r="D48" s="3" t="s">
        <v>25</v>
      </c>
      <c r="E48" s="4">
        <v>46303</v>
      </c>
      <c r="F48" s="3">
        <v>21400570</v>
      </c>
      <c r="G48" s="3">
        <v>20799812</v>
      </c>
      <c r="H48" s="3" t="s">
        <v>17</v>
      </c>
      <c r="I48" s="3" t="s">
        <v>18</v>
      </c>
      <c r="J48" s="3" t="s">
        <v>19</v>
      </c>
      <c r="K48" s="3" t="s">
        <v>26</v>
      </c>
      <c r="L48" s="5">
        <v>3</v>
      </c>
      <c r="M48" s="3" t="s">
        <v>31</v>
      </c>
      <c r="N48" s="3" t="s">
        <v>32</v>
      </c>
      <c r="O48" s="5">
        <v>0</v>
      </c>
      <c r="P48" s="4">
        <v>46304</v>
      </c>
      <c r="Q48" s="3" t="s">
        <v>667</v>
      </c>
      <c r="R48" s="9"/>
      <c r="S48" s="9">
        <f ca="1">IF(OR(Q48="SIN PROCESAR",Q48="SIN ENVIAR",Q48="ENVIADO SIN ENTREGAR"),(IF((NETWORKDAYS(E48,TODAY()-1,$U$2:$AA$2))&lt;0,0,(NETWORKDAYS(E48,TODAY()-1,$U$2:$AA$2)))),0)</f>
        <v>2</v>
      </c>
      <c r="T48" s="3" t="s">
        <v>675</v>
      </c>
    </row>
    <row r="49" spans="1:20" x14ac:dyDescent="0.25">
      <c r="A49" s="3" t="s">
        <v>611</v>
      </c>
      <c r="B49" s="3" t="s">
        <v>46</v>
      </c>
      <c r="C49" s="3" t="s">
        <v>47</v>
      </c>
      <c r="D49" s="3" t="s">
        <v>48</v>
      </c>
      <c r="E49" s="4">
        <v>46303</v>
      </c>
      <c r="F49" s="3">
        <v>21446286</v>
      </c>
      <c r="G49" s="3">
        <v>20796179</v>
      </c>
      <c r="H49" s="3" t="s">
        <v>36</v>
      </c>
      <c r="I49" s="3" t="s">
        <v>49</v>
      </c>
      <c r="J49" s="3" t="s">
        <v>50</v>
      </c>
      <c r="K49" s="3" t="s">
        <v>51</v>
      </c>
      <c r="L49" s="5">
        <v>2</v>
      </c>
      <c r="M49" s="3" t="s">
        <v>52</v>
      </c>
      <c r="N49" s="3" t="s">
        <v>53</v>
      </c>
      <c r="O49" s="5">
        <v>0</v>
      </c>
      <c r="P49" s="4">
        <v>46300</v>
      </c>
      <c r="Q49" s="3" t="s">
        <v>667</v>
      </c>
      <c r="R49" s="9"/>
      <c r="S49" s="9">
        <f ca="1">IF(OR(Q49="SIN PROCESAR",Q49="SIN ENVIAR",Q49="ENVIADO SIN ENTREGAR"),(IF((NETWORKDAYS(E49,TODAY()-1,$U$2:$AA$2))&lt;0,0,(NETWORKDAYS(E49,TODAY()-1,$U$2:$AA$2)))),0)</f>
        <v>2</v>
      </c>
      <c r="T49" s="3" t="s">
        <v>677</v>
      </c>
    </row>
    <row r="50" spans="1:20" x14ac:dyDescent="0.25">
      <c r="A50" s="3" t="s">
        <v>611</v>
      </c>
      <c r="B50" s="3" t="s">
        <v>46</v>
      </c>
      <c r="C50" s="3" t="s">
        <v>47</v>
      </c>
      <c r="D50" s="3" t="s">
        <v>48</v>
      </c>
      <c r="E50" s="4">
        <v>46303</v>
      </c>
      <c r="F50" s="3">
        <v>21446286</v>
      </c>
      <c r="G50" s="3">
        <v>20796179</v>
      </c>
      <c r="H50" s="3" t="s">
        <v>36</v>
      </c>
      <c r="I50" s="3" t="s">
        <v>49</v>
      </c>
      <c r="J50" s="3" t="s">
        <v>50</v>
      </c>
      <c r="K50" s="3" t="s">
        <v>51</v>
      </c>
      <c r="L50" s="5">
        <v>2</v>
      </c>
      <c r="M50" s="3" t="s">
        <v>54</v>
      </c>
      <c r="N50" s="3" t="s">
        <v>55</v>
      </c>
      <c r="O50" s="5">
        <v>0</v>
      </c>
      <c r="P50" s="4">
        <v>46300</v>
      </c>
      <c r="Q50" s="3" t="s">
        <v>667</v>
      </c>
      <c r="R50" s="9"/>
      <c r="S50" s="9">
        <f ca="1">IF(OR(Q50="SIN PROCESAR",Q50="SIN ENVIAR",Q50="ENVIADO SIN ENTREGAR"),(IF((NETWORKDAYS(E50,TODAY()-1,$U$2:$AA$2))&lt;0,0,(NETWORKDAYS(E50,TODAY()-1,$U$2:$AA$2)))),0)</f>
        <v>2</v>
      </c>
      <c r="T50" s="3" t="s">
        <v>677</v>
      </c>
    </row>
    <row r="51" spans="1:20" x14ac:dyDescent="0.25">
      <c r="A51" s="3" t="s">
        <v>611</v>
      </c>
      <c r="B51" s="3" t="s">
        <v>46</v>
      </c>
      <c r="C51" s="3" t="s">
        <v>47</v>
      </c>
      <c r="D51" s="3" t="s">
        <v>48</v>
      </c>
      <c r="E51" s="4">
        <v>46303</v>
      </c>
      <c r="F51" s="3">
        <v>21446286</v>
      </c>
      <c r="G51" s="3">
        <v>20796179</v>
      </c>
      <c r="H51" s="3" t="s">
        <v>36</v>
      </c>
      <c r="I51" s="3" t="s">
        <v>49</v>
      </c>
      <c r="J51" s="3" t="s">
        <v>50</v>
      </c>
      <c r="K51" s="3" t="s">
        <v>51</v>
      </c>
      <c r="L51" s="5">
        <v>2</v>
      </c>
      <c r="M51" s="3" t="s">
        <v>56</v>
      </c>
      <c r="N51" s="3" t="s">
        <v>57</v>
      </c>
      <c r="O51" s="5">
        <v>0</v>
      </c>
      <c r="P51" s="4">
        <v>46300</v>
      </c>
      <c r="Q51" s="3" t="s">
        <v>667</v>
      </c>
      <c r="R51" s="9"/>
      <c r="S51" s="9">
        <f ca="1">IF(OR(Q51="SIN PROCESAR",Q51="SIN ENVIAR",Q51="ENVIADO SIN ENTREGAR"),(IF((NETWORKDAYS(E51,TODAY()-1,$U$2:$AA$2))&lt;0,0,(NETWORKDAYS(E51,TODAY()-1,$U$2:$AA$2)))),0)</f>
        <v>2</v>
      </c>
      <c r="T51" s="3" t="s">
        <v>677</v>
      </c>
    </row>
    <row r="52" spans="1:20" x14ac:dyDescent="0.25">
      <c r="A52" s="3" t="s">
        <v>614</v>
      </c>
      <c r="B52" s="3" t="s">
        <v>118</v>
      </c>
      <c r="C52" s="3" t="s">
        <v>119</v>
      </c>
      <c r="D52" s="3" t="s">
        <v>35</v>
      </c>
      <c r="E52" s="4">
        <v>46303</v>
      </c>
      <c r="F52" s="3">
        <v>21448312</v>
      </c>
      <c r="G52" s="3">
        <v>20798150</v>
      </c>
      <c r="H52" s="3" t="s">
        <v>17</v>
      </c>
      <c r="I52" s="3" t="s">
        <v>18</v>
      </c>
      <c r="J52" s="3" t="s">
        <v>19</v>
      </c>
      <c r="K52" s="3" t="s">
        <v>120</v>
      </c>
      <c r="L52" s="5">
        <v>1</v>
      </c>
      <c r="M52" s="3" t="s">
        <v>121</v>
      </c>
      <c r="N52" s="3" t="s">
        <v>122</v>
      </c>
      <c r="O52" s="5">
        <v>0</v>
      </c>
      <c r="P52" s="4">
        <v>46300</v>
      </c>
      <c r="Q52" s="3" t="s">
        <v>667</v>
      </c>
      <c r="R52" s="9"/>
      <c r="S52" s="9">
        <f ca="1">IF(OR(Q52="SIN PROCESAR",Q52="SIN ENVIAR",Q52="ENVIADO SIN ENTREGAR"),(IF((NETWORKDAYS(E52,TODAY()-1,$U$2:$AA$2))&lt;0,0,(NETWORKDAYS(E52,TODAY()-1,$U$2:$AA$2)))),0)</f>
        <v>2</v>
      </c>
      <c r="T52" s="3" t="s">
        <v>675</v>
      </c>
    </row>
    <row r="53" spans="1:20" x14ac:dyDescent="0.25">
      <c r="A53" s="3" t="s">
        <v>614</v>
      </c>
      <c r="B53" s="3" t="s">
        <v>118</v>
      </c>
      <c r="C53" s="3" t="s">
        <v>119</v>
      </c>
      <c r="D53" s="3" t="s">
        <v>35</v>
      </c>
      <c r="E53" s="4">
        <v>46303</v>
      </c>
      <c r="F53" s="3">
        <v>21448312</v>
      </c>
      <c r="G53" s="3">
        <v>20798150</v>
      </c>
      <c r="H53" s="3" t="s">
        <v>17</v>
      </c>
      <c r="I53" s="3" t="s">
        <v>18</v>
      </c>
      <c r="J53" s="3" t="s">
        <v>19</v>
      </c>
      <c r="K53" s="3" t="s">
        <v>120</v>
      </c>
      <c r="L53" s="5">
        <v>1</v>
      </c>
      <c r="M53" s="3" t="s">
        <v>123</v>
      </c>
      <c r="N53" s="3" t="s">
        <v>124</v>
      </c>
      <c r="O53" s="5">
        <v>0</v>
      </c>
      <c r="P53" s="4">
        <v>46300</v>
      </c>
      <c r="Q53" s="3" t="s">
        <v>667</v>
      </c>
      <c r="R53" s="9"/>
      <c r="S53" s="9">
        <f ca="1">IF(OR(Q53="SIN PROCESAR",Q53="SIN ENVIAR",Q53="ENVIADO SIN ENTREGAR"),(IF((NETWORKDAYS(E53,TODAY()-1,$U$2:$AA$2))&lt;0,0,(NETWORKDAYS(E53,TODAY()-1,$U$2:$AA$2)))),0)</f>
        <v>2</v>
      </c>
      <c r="T53" s="3" t="s">
        <v>675</v>
      </c>
    </row>
    <row r="54" spans="1:20" x14ac:dyDescent="0.25">
      <c r="A54" s="3" t="s">
        <v>614</v>
      </c>
      <c r="B54" s="3" t="s">
        <v>118</v>
      </c>
      <c r="C54" s="3" t="s">
        <v>119</v>
      </c>
      <c r="D54" s="3" t="s">
        <v>35</v>
      </c>
      <c r="E54" s="4">
        <v>46303</v>
      </c>
      <c r="F54" s="3">
        <v>21448312</v>
      </c>
      <c r="G54" s="3">
        <v>20798150</v>
      </c>
      <c r="H54" s="3" t="s">
        <v>17</v>
      </c>
      <c r="I54" s="3" t="s">
        <v>18</v>
      </c>
      <c r="J54" s="3" t="s">
        <v>19</v>
      </c>
      <c r="K54" s="3" t="s">
        <v>120</v>
      </c>
      <c r="L54" s="5">
        <v>1</v>
      </c>
      <c r="M54" s="3" t="s">
        <v>125</v>
      </c>
      <c r="N54" s="3" t="s">
        <v>126</v>
      </c>
      <c r="O54" s="5">
        <v>0</v>
      </c>
      <c r="P54" s="4">
        <v>46300</v>
      </c>
      <c r="Q54" s="3" t="s">
        <v>667</v>
      </c>
      <c r="R54" s="9"/>
      <c r="S54" s="9">
        <f ca="1">IF(OR(Q54="SIN PROCESAR",Q54="SIN ENVIAR",Q54="ENVIADO SIN ENTREGAR"),(IF((NETWORKDAYS(E54,TODAY()-1,$U$2:$AA$2))&lt;0,0,(NETWORKDAYS(E54,TODAY()-1,$U$2:$AA$2)))),0)</f>
        <v>2</v>
      </c>
      <c r="T54" s="3" t="s">
        <v>675</v>
      </c>
    </row>
    <row r="55" spans="1:20" x14ac:dyDescent="0.25">
      <c r="A55" s="3" t="s">
        <v>614</v>
      </c>
      <c r="B55" s="3" t="s">
        <v>118</v>
      </c>
      <c r="C55" s="3" t="s">
        <v>119</v>
      </c>
      <c r="D55" s="3" t="s">
        <v>35</v>
      </c>
      <c r="E55" s="4">
        <v>46303</v>
      </c>
      <c r="F55" s="3">
        <v>21448312</v>
      </c>
      <c r="G55" s="3">
        <v>20798150</v>
      </c>
      <c r="H55" s="3" t="s">
        <v>17</v>
      </c>
      <c r="I55" s="3" t="s">
        <v>18</v>
      </c>
      <c r="J55" s="3" t="s">
        <v>19</v>
      </c>
      <c r="K55" s="3" t="s">
        <v>120</v>
      </c>
      <c r="L55" s="5">
        <v>1</v>
      </c>
      <c r="M55" s="3" t="s">
        <v>127</v>
      </c>
      <c r="N55" s="3" t="s">
        <v>128</v>
      </c>
      <c r="O55" s="5">
        <v>0</v>
      </c>
      <c r="P55" s="4">
        <v>46300</v>
      </c>
      <c r="Q55" s="3" t="s">
        <v>667</v>
      </c>
      <c r="R55" s="9"/>
      <c r="S55" s="9">
        <f ca="1">IF(OR(Q55="SIN PROCESAR",Q55="SIN ENVIAR",Q55="ENVIADO SIN ENTREGAR"),(IF((NETWORKDAYS(E55,TODAY()-1,$U$2:$AA$2))&lt;0,0,(NETWORKDAYS(E55,TODAY()-1,$U$2:$AA$2)))),0)</f>
        <v>2</v>
      </c>
      <c r="T55" s="3" t="s">
        <v>675</v>
      </c>
    </row>
    <row r="56" spans="1:20" x14ac:dyDescent="0.25">
      <c r="A56" s="3" t="s">
        <v>614</v>
      </c>
      <c r="B56" s="3" t="s">
        <v>118</v>
      </c>
      <c r="C56" s="3" t="s">
        <v>119</v>
      </c>
      <c r="D56" s="3" t="s">
        <v>35</v>
      </c>
      <c r="E56" s="4">
        <v>46303</v>
      </c>
      <c r="F56" s="3">
        <v>21448312</v>
      </c>
      <c r="G56" s="3">
        <v>20798150</v>
      </c>
      <c r="H56" s="3" t="s">
        <v>17</v>
      </c>
      <c r="I56" s="3" t="s">
        <v>18</v>
      </c>
      <c r="J56" s="3" t="s">
        <v>19</v>
      </c>
      <c r="K56" s="3" t="s">
        <v>120</v>
      </c>
      <c r="L56" s="5">
        <v>1</v>
      </c>
      <c r="M56" s="3" t="s">
        <v>129</v>
      </c>
      <c r="N56" s="3" t="s">
        <v>130</v>
      </c>
      <c r="O56" s="5">
        <v>0</v>
      </c>
      <c r="P56" s="4">
        <v>46300</v>
      </c>
      <c r="Q56" s="3" t="s">
        <v>667</v>
      </c>
      <c r="R56" s="9"/>
      <c r="S56" s="9">
        <f ca="1">IF(OR(Q56="SIN PROCESAR",Q56="SIN ENVIAR",Q56="ENVIADO SIN ENTREGAR"),(IF((NETWORKDAYS(E56,TODAY()-1,$U$2:$AA$2))&lt;0,0,(NETWORKDAYS(E56,TODAY()-1,$U$2:$AA$2)))),0)</f>
        <v>2</v>
      </c>
      <c r="T56" s="3" t="s">
        <v>675</v>
      </c>
    </row>
    <row r="57" spans="1:20" x14ac:dyDescent="0.25">
      <c r="A57" s="3" t="s">
        <v>614</v>
      </c>
      <c r="B57" s="3" t="s">
        <v>118</v>
      </c>
      <c r="C57" s="3" t="s">
        <v>119</v>
      </c>
      <c r="D57" s="3" t="s">
        <v>35</v>
      </c>
      <c r="E57" s="4">
        <v>46303</v>
      </c>
      <c r="F57" s="3">
        <v>21448312</v>
      </c>
      <c r="G57" s="3">
        <v>20798150</v>
      </c>
      <c r="H57" s="3" t="s">
        <v>17</v>
      </c>
      <c r="I57" s="3" t="s">
        <v>18</v>
      </c>
      <c r="J57" s="3" t="s">
        <v>19</v>
      </c>
      <c r="K57" s="3" t="s">
        <v>120</v>
      </c>
      <c r="L57" s="5">
        <v>1</v>
      </c>
      <c r="M57" s="3" t="s">
        <v>131</v>
      </c>
      <c r="N57" s="3" t="s">
        <v>132</v>
      </c>
      <c r="O57" s="5">
        <v>0</v>
      </c>
      <c r="P57" s="4">
        <v>46300</v>
      </c>
      <c r="Q57" s="3" t="s">
        <v>667</v>
      </c>
      <c r="R57" s="9"/>
      <c r="S57" s="9">
        <f ca="1">IF(OR(Q57="SIN PROCESAR",Q57="SIN ENVIAR",Q57="ENVIADO SIN ENTREGAR"),(IF((NETWORKDAYS(E57,TODAY()-1,$U$2:$AA$2))&lt;0,0,(NETWORKDAYS(E57,TODAY()-1,$U$2:$AA$2)))),0)</f>
        <v>2</v>
      </c>
      <c r="T57" s="3" t="s">
        <v>675</v>
      </c>
    </row>
    <row r="58" spans="1:20" x14ac:dyDescent="0.25">
      <c r="A58" s="3" t="s">
        <v>614</v>
      </c>
      <c r="B58" s="3" t="s">
        <v>118</v>
      </c>
      <c r="C58" s="3" t="s">
        <v>119</v>
      </c>
      <c r="D58" s="3" t="s">
        <v>35</v>
      </c>
      <c r="E58" s="4">
        <v>46303</v>
      </c>
      <c r="F58" s="3">
        <v>21448312</v>
      </c>
      <c r="G58" s="3">
        <v>20798150</v>
      </c>
      <c r="H58" s="3" t="s">
        <v>17</v>
      </c>
      <c r="I58" s="3" t="s">
        <v>18</v>
      </c>
      <c r="J58" s="3" t="s">
        <v>19</v>
      </c>
      <c r="K58" s="3" t="s">
        <v>120</v>
      </c>
      <c r="L58" s="5">
        <v>2</v>
      </c>
      <c r="M58" s="3" t="s">
        <v>31</v>
      </c>
      <c r="N58" s="3" t="s">
        <v>32</v>
      </c>
      <c r="O58" s="5">
        <v>0</v>
      </c>
      <c r="P58" s="4">
        <v>46300</v>
      </c>
      <c r="Q58" s="3" t="s">
        <v>667</v>
      </c>
      <c r="R58" s="9"/>
      <c r="S58" s="9">
        <f ca="1">IF(OR(Q58="SIN PROCESAR",Q58="SIN ENVIAR",Q58="ENVIADO SIN ENTREGAR"),(IF((NETWORKDAYS(E58,TODAY()-1,$U$2:$AA$2))&lt;0,0,(NETWORKDAYS(E58,TODAY()-1,$U$2:$AA$2)))),0)</f>
        <v>2</v>
      </c>
      <c r="T58" s="3" t="s">
        <v>675</v>
      </c>
    </row>
    <row r="59" spans="1:20" x14ac:dyDescent="0.25">
      <c r="A59" s="3" t="s">
        <v>621</v>
      </c>
      <c r="B59" s="3" t="s">
        <v>14</v>
      </c>
      <c r="C59" s="3" t="s">
        <v>246</v>
      </c>
      <c r="D59" s="3" t="s">
        <v>247</v>
      </c>
      <c r="E59" s="4">
        <v>46303</v>
      </c>
      <c r="F59" s="3">
        <v>21334554</v>
      </c>
      <c r="G59" s="3">
        <v>20798894</v>
      </c>
      <c r="H59" s="3" t="s">
        <v>36</v>
      </c>
      <c r="I59" s="3" t="s">
        <v>18</v>
      </c>
      <c r="J59" s="3" t="s">
        <v>19</v>
      </c>
      <c r="K59" s="3" t="s">
        <v>248</v>
      </c>
      <c r="L59" s="5">
        <v>1</v>
      </c>
      <c r="M59" s="3" t="s">
        <v>64</v>
      </c>
      <c r="N59" s="3" t="s">
        <v>65</v>
      </c>
      <c r="O59" s="5">
        <v>1</v>
      </c>
      <c r="P59" s="4">
        <v>46304</v>
      </c>
      <c r="Q59" s="3" t="s">
        <v>671</v>
      </c>
      <c r="R59" s="9">
        <v>958154</v>
      </c>
      <c r="S59" s="9">
        <f ca="1">IF(OR(Q59="SIN PROCESAR",Q59="SIN ENVIAR",Q59="ENVIADO SIN ENTREGAR"),(IF((NETWORKDAYS(E59,TODAY()-1,$U$2:$AA$2))&lt;0,0,(NETWORKDAYS(E59,TODAY()-1,$U$2:$AA$2)))),0)</f>
        <v>2</v>
      </c>
      <c r="T59" s="3" t="s">
        <v>692</v>
      </c>
    </row>
    <row r="60" spans="1:20" x14ac:dyDescent="0.25">
      <c r="A60" s="3" t="s">
        <v>621</v>
      </c>
      <c r="B60" s="3" t="s">
        <v>14</v>
      </c>
      <c r="C60" s="3" t="s">
        <v>252</v>
      </c>
      <c r="D60" s="3" t="s">
        <v>253</v>
      </c>
      <c r="E60" s="4">
        <v>46303</v>
      </c>
      <c r="F60" s="3">
        <v>21419834</v>
      </c>
      <c r="G60" s="3">
        <v>20799627</v>
      </c>
      <c r="H60" s="3" t="s">
        <v>158</v>
      </c>
      <c r="I60" s="3" t="s">
        <v>18</v>
      </c>
      <c r="J60" s="3" t="s">
        <v>19</v>
      </c>
      <c r="K60" s="3" t="s">
        <v>254</v>
      </c>
      <c r="L60" s="5">
        <v>1</v>
      </c>
      <c r="M60" s="3" t="s">
        <v>21</v>
      </c>
      <c r="N60" s="3" t="s">
        <v>22</v>
      </c>
      <c r="O60" s="5">
        <v>1</v>
      </c>
      <c r="P60" s="4">
        <v>46304</v>
      </c>
      <c r="Q60" s="3" t="s">
        <v>671</v>
      </c>
      <c r="R60" s="9">
        <v>958149</v>
      </c>
      <c r="S60" s="9">
        <f ca="1">IF(OR(Q60="SIN PROCESAR",Q60="SIN ENVIAR",Q60="ENVIADO SIN ENTREGAR"),(IF((NETWORKDAYS(E60,TODAY()-1,$U$2:$AA$2))&lt;0,0,(NETWORKDAYS(E60,TODAY()-1,$U$2:$AA$2)))),0)</f>
        <v>2</v>
      </c>
      <c r="T60" s="3" t="s">
        <v>694</v>
      </c>
    </row>
    <row r="61" spans="1:20" x14ac:dyDescent="0.25">
      <c r="A61" s="3" t="s">
        <v>622</v>
      </c>
      <c r="B61" s="3" t="s">
        <v>265</v>
      </c>
      <c r="C61" s="3" t="s">
        <v>266</v>
      </c>
      <c r="D61" s="3" t="s">
        <v>267</v>
      </c>
      <c r="E61" s="4">
        <v>46303</v>
      </c>
      <c r="F61" s="3">
        <v>21442094</v>
      </c>
      <c r="G61" s="3">
        <v>20798907</v>
      </c>
      <c r="H61" s="3" t="s">
        <v>17</v>
      </c>
      <c r="I61" s="3" t="s">
        <v>18</v>
      </c>
      <c r="J61" s="3" t="s">
        <v>19</v>
      </c>
      <c r="K61" s="3" t="s">
        <v>268</v>
      </c>
      <c r="L61" s="5">
        <v>1</v>
      </c>
      <c r="M61" s="3" t="s">
        <v>99</v>
      </c>
      <c r="N61" s="3" t="s">
        <v>100</v>
      </c>
      <c r="O61" s="5">
        <v>0</v>
      </c>
      <c r="P61" s="4">
        <v>45247</v>
      </c>
      <c r="Q61" s="3" t="s">
        <v>667</v>
      </c>
      <c r="R61" s="9"/>
      <c r="S61" s="9">
        <f ca="1">IF(OR(Q61="SIN PROCESAR",Q61="SIN ENVIAR",Q61="ENVIADO SIN ENTREGAR"),(IF((NETWORKDAYS(E61,TODAY()-1,$U$2:$AA$2))&lt;0,0,(NETWORKDAYS(E61,TODAY()-1,$U$2:$AA$2)))),0)</f>
        <v>2</v>
      </c>
      <c r="T61" s="3"/>
    </row>
    <row r="62" spans="1:20" x14ac:dyDescent="0.25">
      <c r="A62" s="3" t="s">
        <v>622</v>
      </c>
      <c r="B62" s="3" t="s">
        <v>265</v>
      </c>
      <c r="C62" s="3" t="s">
        <v>266</v>
      </c>
      <c r="D62" s="3" t="s">
        <v>267</v>
      </c>
      <c r="E62" s="4">
        <v>46303</v>
      </c>
      <c r="F62" s="3">
        <v>21442094</v>
      </c>
      <c r="G62" s="3">
        <v>20798907</v>
      </c>
      <c r="H62" s="3" t="s">
        <v>17</v>
      </c>
      <c r="I62" s="3" t="s">
        <v>18</v>
      </c>
      <c r="J62" s="3" t="s">
        <v>19</v>
      </c>
      <c r="K62" s="3" t="s">
        <v>268</v>
      </c>
      <c r="L62" s="5">
        <v>1</v>
      </c>
      <c r="M62" s="3" t="s">
        <v>269</v>
      </c>
      <c r="N62" s="3" t="s">
        <v>270</v>
      </c>
      <c r="O62" s="5">
        <v>0</v>
      </c>
      <c r="P62" s="4">
        <v>45247</v>
      </c>
      <c r="Q62" s="3" t="s">
        <v>667</v>
      </c>
      <c r="R62" s="9"/>
      <c r="S62" s="9">
        <f ca="1">IF(OR(Q62="SIN PROCESAR",Q62="SIN ENVIAR",Q62="ENVIADO SIN ENTREGAR"),(IF((NETWORKDAYS(E62,TODAY()-1,$U$2:$AA$2))&lt;0,0,(NETWORKDAYS(E62,TODAY()-1,$U$2:$AA$2)))),0)</f>
        <v>2</v>
      </c>
      <c r="T62" s="3"/>
    </row>
    <row r="63" spans="1:20" x14ac:dyDescent="0.25">
      <c r="A63" s="3" t="s">
        <v>622</v>
      </c>
      <c r="B63" s="3" t="s">
        <v>265</v>
      </c>
      <c r="C63" s="3" t="s">
        <v>266</v>
      </c>
      <c r="D63" s="3" t="s">
        <v>267</v>
      </c>
      <c r="E63" s="4">
        <v>46303</v>
      </c>
      <c r="F63" s="3">
        <v>21442094</v>
      </c>
      <c r="G63" s="3">
        <v>20798907</v>
      </c>
      <c r="H63" s="3" t="s">
        <v>17</v>
      </c>
      <c r="I63" s="3" t="s">
        <v>18</v>
      </c>
      <c r="J63" s="3" t="s">
        <v>19</v>
      </c>
      <c r="K63" s="3" t="s">
        <v>268</v>
      </c>
      <c r="L63" s="5">
        <v>1</v>
      </c>
      <c r="M63" s="3" t="s">
        <v>271</v>
      </c>
      <c r="N63" s="3" t="s">
        <v>272</v>
      </c>
      <c r="O63" s="5">
        <v>0</v>
      </c>
      <c r="P63" s="4">
        <v>45247</v>
      </c>
      <c r="Q63" s="3" t="s">
        <v>667</v>
      </c>
      <c r="R63" s="9"/>
      <c r="S63" s="9">
        <f ca="1">IF(OR(Q63="SIN PROCESAR",Q63="SIN ENVIAR",Q63="ENVIADO SIN ENTREGAR"),(IF((NETWORKDAYS(E63,TODAY()-1,$U$2:$AA$2))&lt;0,0,(NETWORKDAYS(E63,TODAY()-1,$U$2:$AA$2)))),0)</f>
        <v>2</v>
      </c>
      <c r="T63" s="3"/>
    </row>
    <row r="64" spans="1:20" x14ac:dyDescent="0.25">
      <c r="A64" s="3" t="s">
        <v>632</v>
      </c>
      <c r="B64" s="3" t="s">
        <v>46</v>
      </c>
      <c r="C64" s="3" t="s">
        <v>334</v>
      </c>
      <c r="D64" s="3" t="s">
        <v>335</v>
      </c>
      <c r="E64" s="4">
        <v>46303</v>
      </c>
      <c r="F64" s="3">
        <v>21446176</v>
      </c>
      <c r="G64" s="3">
        <v>20796507</v>
      </c>
      <c r="H64" s="3" t="s">
        <v>290</v>
      </c>
      <c r="I64" s="3" t="s">
        <v>187</v>
      </c>
      <c r="J64" s="3" t="s">
        <v>50</v>
      </c>
      <c r="K64" s="3" t="s">
        <v>336</v>
      </c>
      <c r="L64" s="5">
        <v>2</v>
      </c>
      <c r="M64" s="3" t="s">
        <v>337</v>
      </c>
      <c r="N64" s="3" t="s">
        <v>338</v>
      </c>
      <c r="O64" s="5">
        <v>2</v>
      </c>
      <c r="P64" s="4">
        <v>46304</v>
      </c>
      <c r="Q64" s="3" t="s">
        <v>667</v>
      </c>
      <c r="R64" s="9"/>
      <c r="S64" s="9">
        <f ca="1">IF(OR(Q64="SIN PROCESAR",Q64="SIN ENVIAR",Q64="ENVIADO SIN ENTREGAR"),(IF((NETWORKDAYS(E64,TODAY()-1,$U$2:$AA$2))&lt;0,0,(NETWORKDAYS(E64,TODAY()-1,$U$2:$AA$2)))),0)</f>
        <v>2</v>
      </c>
      <c r="T64" s="3" t="s">
        <v>702</v>
      </c>
    </row>
    <row r="65" spans="1:20" x14ac:dyDescent="0.25">
      <c r="A65" s="3" t="s">
        <v>632</v>
      </c>
      <c r="B65" s="3" t="s">
        <v>46</v>
      </c>
      <c r="C65" s="3" t="s">
        <v>334</v>
      </c>
      <c r="D65" s="3" t="s">
        <v>335</v>
      </c>
      <c r="E65" s="4">
        <v>46303</v>
      </c>
      <c r="F65" s="3">
        <v>21446176</v>
      </c>
      <c r="G65" s="3">
        <v>20796507</v>
      </c>
      <c r="H65" s="3" t="s">
        <v>290</v>
      </c>
      <c r="I65" s="3" t="s">
        <v>187</v>
      </c>
      <c r="J65" s="3" t="s">
        <v>50</v>
      </c>
      <c r="K65" s="3" t="s">
        <v>336</v>
      </c>
      <c r="L65" s="5">
        <v>2</v>
      </c>
      <c r="M65" s="3" t="s">
        <v>339</v>
      </c>
      <c r="N65" s="3" t="s">
        <v>122</v>
      </c>
      <c r="O65" s="5">
        <v>2</v>
      </c>
      <c r="P65" s="4">
        <v>46304</v>
      </c>
      <c r="Q65" s="3" t="s">
        <v>667</v>
      </c>
      <c r="R65" s="9"/>
      <c r="S65" s="9">
        <f ca="1">IF(OR(Q65="SIN PROCESAR",Q65="SIN ENVIAR",Q65="ENVIADO SIN ENTREGAR"),(IF((NETWORKDAYS(E65,TODAY()-1,$U$2:$AA$2))&lt;0,0,(NETWORKDAYS(E65,TODAY()-1,$U$2:$AA$2)))),0)</f>
        <v>2</v>
      </c>
      <c r="T65" s="3" t="s">
        <v>702</v>
      </c>
    </row>
    <row r="66" spans="1:20" x14ac:dyDescent="0.25">
      <c r="A66" s="3" t="s">
        <v>632</v>
      </c>
      <c r="B66" s="3" t="s">
        <v>46</v>
      </c>
      <c r="C66" s="3" t="s">
        <v>334</v>
      </c>
      <c r="D66" s="3" t="s">
        <v>335</v>
      </c>
      <c r="E66" s="4">
        <v>46303</v>
      </c>
      <c r="F66" s="3">
        <v>21446176</v>
      </c>
      <c r="G66" s="3">
        <v>20796507</v>
      </c>
      <c r="H66" s="3" t="s">
        <v>290</v>
      </c>
      <c r="I66" s="3" t="s">
        <v>187</v>
      </c>
      <c r="J66" s="3" t="s">
        <v>50</v>
      </c>
      <c r="K66" s="3" t="s">
        <v>336</v>
      </c>
      <c r="L66" s="5">
        <v>2</v>
      </c>
      <c r="M66" s="3" t="s">
        <v>127</v>
      </c>
      <c r="N66" s="3" t="s">
        <v>128</v>
      </c>
      <c r="O66" s="5">
        <v>2</v>
      </c>
      <c r="P66" s="4">
        <v>46304</v>
      </c>
      <c r="Q66" s="3" t="s">
        <v>667</v>
      </c>
      <c r="R66" s="9"/>
      <c r="S66" s="9">
        <f ca="1">IF(OR(Q66="SIN PROCESAR",Q66="SIN ENVIAR",Q66="ENVIADO SIN ENTREGAR"),(IF((NETWORKDAYS(E66,TODAY()-1,$U$2:$AA$2))&lt;0,0,(NETWORKDAYS(E66,TODAY()-1,$U$2:$AA$2)))),0)</f>
        <v>2</v>
      </c>
      <c r="T66" s="3" t="s">
        <v>702</v>
      </c>
    </row>
    <row r="67" spans="1:20" x14ac:dyDescent="0.25">
      <c r="A67" s="3" t="s">
        <v>632</v>
      </c>
      <c r="B67" s="3" t="s">
        <v>46</v>
      </c>
      <c r="C67" s="3" t="s">
        <v>334</v>
      </c>
      <c r="D67" s="3" t="s">
        <v>335</v>
      </c>
      <c r="E67" s="4">
        <v>46303</v>
      </c>
      <c r="F67" s="3">
        <v>21446176</v>
      </c>
      <c r="G67" s="3">
        <v>20796507</v>
      </c>
      <c r="H67" s="3" t="s">
        <v>290</v>
      </c>
      <c r="I67" s="3" t="s">
        <v>187</v>
      </c>
      <c r="J67" s="3" t="s">
        <v>50</v>
      </c>
      <c r="K67" s="3" t="s">
        <v>336</v>
      </c>
      <c r="L67" s="5">
        <v>3</v>
      </c>
      <c r="M67" s="3" t="s">
        <v>54</v>
      </c>
      <c r="N67" s="3" t="s">
        <v>55</v>
      </c>
      <c r="O67" s="5">
        <v>3</v>
      </c>
      <c r="P67" s="4">
        <v>46304</v>
      </c>
      <c r="Q67" s="3" t="s">
        <v>667</v>
      </c>
      <c r="R67" s="9"/>
      <c r="S67" s="9">
        <f ca="1">IF(OR(Q67="SIN PROCESAR",Q67="SIN ENVIAR",Q67="ENVIADO SIN ENTREGAR"),(IF((NETWORKDAYS(E67,TODAY()-1,$U$2:$AA$2))&lt;0,0,(NETWORKDAYS(E67,TODAY()-1,$U$2:$AA$2)))),0)</f>
        <v>2</v>
      </c>
      <c r="T67" s="3" t="s">
        <v>702</v>
      </c>
    </row>
    <row r="68" spans="1:20" x14ac:dyDescent="0.25">
      <c r="A68" s="3" t="s">
        <v>639</v>
      </c>
      <c r="B68" s="3" t="s">
        <v>183</v>
      </c>
      <c r="C68" s="3" t="s">
        <v>388</v>
      </c>
      <c r="D68" s="3" t="s">
        <v>368</v>
      </c>
      <c r="E68" s="4">
        <v>46303</v>
      </c>
      <c r="F68" s="3">
        <v>21438862</v>
      </c>
      <c r="G68" s="3">
        <v>20793149</v>
      </c>
      <c r="H68" s="3" t="s">
        <v>17</v>
      </c>
      <c r="I68" s="3" t="s">
        <v>18</v>
      </c>
      <c r="J68" s="3" t="s">
        <v>19</v>
      </c>
      <c r="K68" s="3" t="s">
        <v>389</v>
      </c>
      <c r="L68" s="5">
        <v>1</v>
      </c>
      <c r="M68" s="3" t="s">
        <v>390</v>
      </c>
      <c r="N68" s="3" t="s">
        <v>391</v>
      </c>
      <c r="O68" s="5">
        <v>1</v>
      </c>
      <c r="P68" s="4">
        <v>46304</v>
      </c>
      <c r="Q68" s="3" t="s">
        <v>671</v>
      </c>
      <c r="R68" s="9">
        <v>958158</v>
      </c>
      <c r="S68" s="9">
        <f ca="1">IF(OR(Q68="SIN PROCESAR",Q68="SIN ENVIAR",Q68="ENVIADO SIN ENTREGAR"),(IF((NETWORKDAYS(E68,TODAY()-1,$U$2:$AA$2))&lt;0,0,(NETWORKDAYS(E68,TODAY()-1,$U$2:$AA$2)))),0)</f>
        <v>2</v>
      </c>
      <c r="T68" s="3" t="s">
        <v>710</v>
      </c>
    </row>
    <row r="69" spans="1:20" x14ac:dyDescent="0.25">
      <c r="A69" s="3" t="s">
        <v>639</v>
      </c>
      <c r="B69" s="3" t="s">
        <v>183</v>
      </c>
      <c r="C69" s="3" t="s">
        <v>388</v>
      </c>
      <c r="D69" s="3" t="s">
        <v>368</v>
      </c>
      <c r="E69" s="4">
        <v>46303</v>
      </c>
      <c r="F69" s="3">
        <v>21438862</v>
      </c>
      <c r="G69" s="3">
        <v>20793149</v>
      </c>
      <c r="H69" s="3" t="s">
        <v>17</v>
      </c>
      <c r="I69" s="3" t="s">
        <v>18</v>
      </c>
      <c r="J69" s="3" t="s">
        <v>19</v>
      </c>
      <c r="K69" s="3" t="s">
        <v>389</v>
      </c>
      <c r="L69" s="5">
        <v>1</v>
      </c>
      <c r="M69" s="3" t="s">
        <v>392</v>
      </c>
      <c r="N69" s="3" t="s">
        <v>393</v>
      </c>
      <c r="O69" s="5">
        <v>1</v>
      </c>
      <c r="P69" s="4">
        <v>46304</v>
      </c>
      <c r="Q69" s="3" t="s">
        <v>671</v>
      </c>
      <c r="R69" s="9">
        <v>958158</v>
      </c>
      <c r="S69" s="9">
        <f ca="1">IF(OR(Q69="SIN PROCESAR",Q69="SIN ENVIAR",Q69="ENVIADO SIN ENTREGAR"),(IF((NETWORKDAYS(E69,TODAY()-1,$U$2:$AA$2))&lt;0,0,(NETWORKDAYS(E69,TODAY()-1,$U$2:$AA$2)))),0)</f>
        <v>2</v>
      </c>
      <c r="T69" s="3" t="s">
        <v>710</v>
      </c>
    </row>
    <row r="70" spans="1:20" x14ac:dyDescent="0.25">
      <c r="A70" s="3" t="s">
        <v>644</v>
      </c>
      <c r="B70" s="3" t="s">
        <v>429</v>
      </c>
      <c r="C70" s="3" t="s">
        <v>430</v>
      </c>
      <c r="D70" s="3" t="s">
        <v>234</v>
      </c>
      <c r="E70" s="4">
        <v>46303</v>
      </c>
      <c r="F70" s="3">
        <v>21447632</v>
      </c>
      <c r="G70" s="3">
        <v>20797325</v>
      </c>
      <c r="H70" s="3" t="s">
        <v>78</v>
      </c>
      <c r="I70" s="3" t="s">
        <v>49</v>
      </c>
      <c r="J70" s="3" t="s">
        <v>19</v>
      </c>
      <c r="K70" s="3" t="s">
        <v>431</v>
      </c>
      <c r="L70" s="5">
        <v>1</v>
      </c>
      <c r="M70" s="3" t="s">
        <v>397</v>
      </c>
      <c r="N70" s="3" t="s">
        <v>398</v>
      </c>
      <c r="O70" s="5">
        <v>0</v>
      </c>
      <c r="P70" s="4">
        <v>46301</v>
      </c>
      <c r="Q70" s="3" t="s">
        <v>667</v>
      </c>
      <c r="R70" s="9"/>
      <c r="S70" s="9">
        <f ca="1">IF(OR(Q70="SIN PROCESAR",Q70="SIN ENVIAR",Q70="ENVIADO SIN ENTREGAR"),(IF((NETWORKDAYS(E70,TODAY()-1,$U$2:$AA$2))&lt;0,0,(NETWORKDAYS(E70,TODAY()-1,$U$2:$AA$2)))),0)</f>
        <v>2</v>
      </c>
      <c r="T70" s="3" t="s">
        <v>717</v>
      </c>
    </row>
    <row r="71" spans="1:20" x14ac:dyDescent="0.25">
      <c r="A71" s="3" t="s">
        <v>644</v>
      </c>
      <c r="B71" s="3" t="s">
        <v>429</v>
      </c>
      <c r="C71" s="3" t="s">
        <v>430</v>
      </c>
      <c r="D71" s="3" t="s">
        <v>234</v>
      </c>
      <c r="E71" s="4">
        <v>46303</v>
      </c>
      <c r="F71" s="3">
        <v>21447632</v>
      </c>
      <c r="G71" s="3">
        <v>20797325</v>
      </c>
      <c r="H71" s="3" t="s">
        <v>78</v>
      </c>
      <c r="I71" s="3" t="s">
        <v>49</v>
      </c>
      <c r="J71" s="3" t="s">
        <v>19</v>
      </c>
      <c r="K71" s="3" t="s">
        <v>431</v>
      </c>
      <c r="L71" s="5">
        <v>1</v>
      </c>
      <c r="M71" s="3" t="s">
        <v>432</v>
      </c>
      <c r="N71" s="3" t="s">
        <v>433</v>
      </c>
      <c r="O71" s="5">
        <v>0</v>
      </c>
      <c r="P71" s="4">
        <v>46301</v>
      </c>
      <c r="Q71" s="3" t="s">
        <v>667</v>
      </c>
      <c r="R71" s="9"/>
      <c r="S71" s="9">
        <f ca="1">IF(OR(Q71="SIN PROCESAR",Q71="SIN ENVIAR",Q71="ENVIADO SIN ENTREGAR"),(IF((NETWORKDAYS(E71,TODAY()-1,$U$2:$AA$2))&lt;0,0,(NETWORKDAYS(E71,TODAY()-1,$U$2:$AA$2)))),0)</f>
        <v>2</v>
      </c>
      <c r="T71" s="3" t="s">
        <v>717</v>
      </c>
    </row>
    <row r="72" spans="1:20" x14ac:dyDescent="0.25">
      <c r="A72" s="3" t="s">
        <v>644</v>
      </c>
      <c r="B72" s="3" t="s">
        <v>429</v>
      </c>
      <c r="C72" s="3" t="s">
        <v>430</v>
      </c>
      <c r="D72" s="3" t="s">
        <v>234</v>
      </c>
      <c r="E72" s="4">
        <v>46303</v>
      </c>
      <c r="F72" s="3">
        <v>21447632</v>
      </c>
      <c r="G72" s="3">
        <v>20797325</v>
      </c>
      <c r="H72" s="3" t="s">
        <v>78</v>
      </c>
      <c r="I72" s="3" t="s">
        <v>49</v>
      </c>
      <c r="J72" s="3" t="s">
        <v>19</v>
      </c>
      <c r="K72" s="3" t="s">
        <v>431</v>
      </c>
      <c r="L72" s="5">
        <v>1</v>
      </c>
      <c r="M72" s="3" t="s">
        <v>434</v>
      </c>
      <c r="N72" s="3" t="s">
        <v>435</v>
      </c>
      <c r="O72" s="5">
        <v>0</v>
      </c>
      <c r="P72" s="4">
        <v>46301</v>
      </c>
      <c r="Q72" s="3" t="s">
        <v>667</v>
      </c>
      <c r="R72" s="9"/>
      <c r="S72" s="9">
        <f ca="1">IF(OR(Q72="SIN PROCESAR",Q72="SIN ENVIAR",Q72="ENVIADO SIN ENTREGAR"),(IF((NETWORKDAYS(E72,TODAY()-1,$U$2:$AA$2))&lt;0,0,(NETWORKDAYS(E72,TODAY()-1,$U$2:$AA$2)))),0)</f>
        <v>2</v>
      </c>
      <c r="T72" s="3" t="s">
        <v>717</v>
      </c>
    </row>
    <row r="73" spans="1:20" x14ac:dyDescent="0.25">
      <c r="A73" s="3" t="s">
        <v>646</v>
      </c>
      <c r="B73" s="3" t="s">
        <v>466</v>
      </c>
      <c r="C73" s="3" t="s">
        <v>467</v>
      </c>
      <c r="D73" s="3" t="s">
        <v>468</v>
      </c>
      <c r="E73" s="4">
        <v>46303</v>
      </c>
      <c r="F73" s="3">
        <v>21425608</v>
      </c>
      <c r="G73" s="3">
        <v>20798543</v>
      </c>
      <c r="H73" s="3" t="s">
        <v>36</v>
      </c>
      <c r="I73" s="3" t="s">
        <v>42</v>
      </c>
      <c r="J73" s="3" t="s">
        <v>19</v>
      </c>
      <c r="K73" s="3" t="s">
        <v>469</v>
      </c>
      <c r="L73" s="5">
        <v>1</v>
      </c>
      <c r="M73" s="3" t="s">
        <v>470</v>
      </c>
      <c r="N73" s="3" t="s">
        <v>471</v>
      </c>
      <c r="O73" s="5">
        <v>1</v>
      </c>
      <c r="P73" s="4">
        <v>46304</v>
      </c>
      <c r="Q73" s="3" t="s">
        <v>671</v>
      </c>
      <c r="R73" s="9">
        <v>958196</v>
      </c>
      <c r="S73" s="9">
        <f ca="1">IF(OR(Q73="SIN PROCESAR",Q73="SIN ENVIAR",Q73="ENVIADO SIN ENTREGAR"),(IF((NETWORKDAYS(E73,TODAY()-1,$U$2:$AA$2))&lt;0,0,(NETWORKDAYS(E73,TODAY()-1,$U$2:$AA$2)))),0)</f>
        <v>2</v>
      </c>
      <c r="T73" s="3" t="s">
        <v>721</v>
      </c>
    </row>
    <row r="74" spans="1:20" x14ac:dyDescent="0.25">
      <c r="A74" s="3" t="s">
        <v>646</v>
      </c>
      <c r="B74" s="3" t="s">
        <v>101</v>
      </c>
      <c r="C74" s="3" t="s">
        <v>472</v>
      </c>
      <c r="D74" s="3" t="s">
        <v>202</v>
      </c>
      <c r="E74" s="4">
        <v>46303</v>
      </c>
      <c r="F74" s="3">
        <v>21439708</v>
      </c>
      <c r="G74" s="3">
        <v>20794970</v>
      </c>
      <c r="H74" s="3" t="s">
        <v>78</v>
      </c>
      <c r="I74" s="3" t="s">
        <v>49</v>
      </c>
      <c r="J74" s="3" t="s">
        <v>19</v>
      </c>
      <c r="K74" s="3" t="s">
        <v>473</v>
      </c>
      <c r="L74" s="5">
        <v>1</v>
      </c>
      <c r="M74" s="3" t="s">
        <v>230</v>
      </c>
      <c r="N74" s="3" t="s">
        <v>231</v>
      </c>
      <c r="O74" s="5">
        <v>0</v>
      </c>
      <c r="P74" s="4">
        <v>46304</v>
      </c>
      <c r="Q74" s="3" t="s">
        <v>667</v>
      </c>
      <c r="R74" s="9"/>
      <c r="S74" s="9">
        <f ca="1">IF(OR(Q74="SIN PROCESAR",Q74="SIN ENVIAR",Q74="ENVIADO SIN ENTREGAR"),(IF((NETWORKDAYS(E74,TODAY()-1,$U$2:$AA$2))&lt;0,0,(NETWORKDAYS(E74,TODAY()-1,$U$2:$AA$2)))),0)</f>
        <v>2</v>
      </c>
      <c r="T74" s="3" t="s">
        <v>722</v>
      </c>
    </row>
    <row r="75" spans="1:20" x14ac:dyDescent="0.25">
      <c r="A75" s="3" t="s">
        <v>647</v>
      </c>
      <c r="B75" s="3" t="s">
        <v>95</v>
      </c>
      <c r="C75" s="3" t="s">
        <v>482</v>
      </c>
      <c r="D75" s="3" t="s">
        <v>208</v>
      </c>
      <c r="E75" s="4">
        <v>46303</v>
      </c>
      <c r="F75" s="3">
        <v>21446770</v>
      </c>
      <c r="G75" s="3">
        <v>20798183</v>
      </c>
      <c r="H75" s="3" t="s">
        <v>36</v>
      </c>
      <c r="I75" s="3" t="s">
        <v>42</v>
      </c>
      <c r="J75" s="3" t="s">
        <v>19</v>
      </c>
      <c r="K75" s="3" t="s">
        <v>483</v>
      </c>
      <c r="L75" s="5">
        <v>1</v>
      </c>
      <c r="M75" s="3" t="s">
        <v>484</v>
      </c>
      <c r="N75" s="3" t="s">
        <v>485</v>
      </c>
      <c r="O75" s="5">
        <v>0</v>
      </c>
      <c r="P75" s="4">
        <v>46302</v>
      </c>
      <c r="Q75" s="3" t="s">
        <v>667</v>
      </c>
      <c r="R75" s="9"/>
      <c r="S75" s="9">
        <f ca="1">IF(OR(Q75="SIN PROCESAR",Q75="SIN ENVIAR",Q75="ENVIADO SIN ENTREGAR"),(IF((NETWORKDAYS(E75,TODAY()-1,$U$2:$AA$2))&lt;0,0,(NETWORKDAYS(E75,TODAY()-1,$U$2:$AA$2)))),0)</f>
        <v>2</v>
      </c>
      <c r="T75" s="3"/>
    </row>
    <row r="76" spans="1:20" x14ac:dyDescent="0.25">
      <c r="A76" s="3" t="s">
        <v>647</v>
      </c>
      <c r="B76" s="3" t="s">
        <v>95</v>
      </c>
      <c r="C76" s="3" t="s">
        <v>482</v>
      </c>
      <c r="D76" s="3" t="s">
        <v>208</v>
      </c>
      <c r="E76" s="4">
        <v>46303</v>
      </c>
      <c r="F76" s="3">
        <v>21446770</v>
      </c>
      <c r="G76" s="3">
        <v>20798183</v>
      </c>
      <c r="H76" s="3" t="s">
        <v>36</v>
      </c>
      <c r="I76" s="3" t="s">
        <v>42</v>
      </c>
      <c r="J76" s="3" t="s">
        <v>19</v>
      </c>
      <c r="K76" s="3" t="s">
        <v>483</v>
      </c>
      <c r="L76" s="5">
        <v>1</v>
      </c>
      <c r="M76" s="3" t="s">
        <v>486</v>
      </c>
      <c r="N76" s="3" t="s">
        <v>487</v>
      </c>
      <c r="O76" s="5">
        <v>0</v>
      </c>
      <c r="P76" s="4">
        <v>46302</v>
      </c>
      <c r="Q76" s="3" t="s">
        <v>667</v>
      </c>
      <c r="R76" s="9"/>
      <c r="S76" s="9">
        <f ca="1">IF(OR(Q76="SIN PROCESAR",Q76="SIN ENVIAR",Q76="ENVIADO SIN ENTREGAR"),(IF((NETWORKDAYS(E76,TODAY()-1,$U$2:$AA$2))&lt;0,0,(NETWORKDAYS(E76,TODAY()-1,$U$2:$AA$2)))),0)</f>
        <v>2</v>
      </c>
      <c r="T76" s="3"/>
    </row>
    <row r="77" spans="1:20" x14ac:dyDescent="0.25">
      <c r="A77" s="3" t="s">
        <v>648</v>
      </c>
      <c r="B77" s="3" t="s">
        <v>154</v>
      </c>
      <c r="C77" s="3" t="s">
        <v>488</v>
      </c>
      <c r="D77" s="3" t="s">
        <v>489</v>
      </c>
      <c r="E77" s="4">
        <v>46303</v>
      </c>
      <c r="F77" s="3">
        <v>21438698</v>
      </c>
      <c r="G77" s="3">
        <v>20796700</v>
      </c>
      <c r="H77" s="3" t="s">
        <v>36</v>
      </c>
      <c r="I77" s="3" t="s">
        <v>18</v>
      </c>
      <c r="J77" s="3" t="s">
        <v>50</v>
      </c>
      <c r="K77" s="3" t="s">
        <v>490</v>
      </c>
      <c r="L77" s="5">
        <v>1</v>
      </c>
      <c r="M77" s="3" t="s">
        <v>491</v>
      </c>
      <c r="N77" s="3" t="s">
        <v>492</v>
      </c>
      <c r="O77" s="5">
        <v>0</v>
      </c>
      <c r="P77" s="4">
        <v>46302</v>
      </c>
      <c r="Q77" s="3" t="s">
        <v>667</v>
      </c>
      <c r="R77" s="9"/>
      <c r="S77" s="9">
        <f ca="1">IF(OR(Q77="SIN PROCESAR",Q77="SIN ENVIAR",Q77="ENVIADO SIN ENTREGAR"),(IF((NETWORKDAYS(E77,TODAY()-1,$U$2:$AA$2))&lt;0,0,(NETWORKDAYS(E77,TODAY()-1,$U$2:$AA$2)))),0)</f>
        <v>2</v>
      </c>
      <c r="T77" s="3" t="s">
        <v>675</v>
      </c>
    </row>
    <row r="78" spans="1:20" x14ac:dyDescent="0.25">
      <c r="A78" s="3" t="s">
        <v>648</v>
      </c>
      <c r="B78" s="3" t="s">
        <v>154</v>
      </c>
      <c r="C78" s="3" t="s">
        <v>488</v>
      </c>
      <c r="D78" s="3" t="s">
        <v>489</v>
      </c>
      <c r="E78" s="4">
        <v>46303</v>
      </c>
      <c r="F78" s="3">
        <v>21438698</v>
      </c>
      <c r="G78" s="3">
        <v>20796700</v>
      </c>
      <c r="H78" s="3" t="s">
        <v>36</v>
      </c>
      <c r="I78" s="3" t="s">
        <v>18</v>
      </c>
      <c r="J78" s="3" t="s">
        <v>50</v>
      </c>
      <c r="K78" s="3" t="s">
        <v>490</v>
      </c>
      <c r="L78" s="5">
        <v>1</v>
      </c>
      <c r="M78" s="3" t="s">
        <v>146</v>
      </c>
      <c r="N78" s="3" t="s">
        <v>147</v>
      </c>
      <c r="O78" s="5">
        <v>0</v>
      </c>
      <c r="P78" s="4">
        <v>46302</v>
      </c>
      <c r="Q78" s="3" t="s">
        <v>667</v>
      </c>
      <c r="R78" s="9"/>
      <c r="S78" s="9">
        <f ca="1">IF(OR(Q78="SIN PROCESAR",Q78="SIN ENVIAR",Q78="ENVIADO SIN ENTREGAR"),(IF((NETWORKDAYS(E78,TODAY()-1,$U$2:$AA$2))&lt;0,0,(NETWORKDAYS(E78,TODAY()-1,$U$2:$AA$2)))),0)</f>
        <v>2</v>
      </c>
      <c r="T78" s="3" t="s">
        <v>675</v>
      </c>
    </row>
    <row r="79" spans="1:20" x14ac:dyDescent="0.25">
      <c r="A79" s="3" t="s">
        <v>648</v>
      </c>
      <c r="B79" s="3" t="s">
        <v>183</v>
      </c>
      <c r="C79" s="3" t="s">
        <v>493</v>
      </c>
      <c r="D79" s="3" t="s">
        <v>368</v>
      </c>
      <c r="E79" s="4">
        <v>46303</v>
      </c>
      <c r="F79" s="3">
        <v>21438664</v>
      </c>
      <c r="G79" s="3">
        <v>20798257</v>
      </c>
      <c r="H79" s="3" t="s">
        <v>17</v>
      </c>
      <c r="I79" s="3" t="s">
        <v>18</v>
      </c>
      <c r="J79" s="3" t="s">
        <v>50</v>
      </c>
      <c r="K79" s="3" t="s">
        <v>494</v>
      </c>
      <c r="L79" s="5">
        <v>1</v>
      </c>
      <c r="M79" s="3" t="s">
        <v>495</v>
      </c>
      <c r="N79" s="3" t="s">
        <v>496</v>
      </c>
      <c r="O79" s="5">
        <v>0</v>
      </c>
      <c r="P79" s="4">
        <v>45506</v>
      </c>
      <c r="Q79" s="3" t="s">
        <v>667</v>
      </c>
      <c r="R79" s="9"/>
      <c r="S79" s="9">
        <f ca="1">IF(OR(Q79="SIN PROCESAR",Q79="SIN ENVIAR",Q79="ENVIADO SIN ENTREGAR"),(IF((NETWORKDAYS(E79,TODAY()-1,$U$2:$AA$2))&lt;0,0,(NETWORKDAYS(E79,TODAY()-1,$U$2:$AA$2)))),0)</f>
        <v>2</v>
      </c>
      <c r="T79" s="3" t="s">
        <v>675</v>
      </c>
    </row>
    <row r="80" spans="1:20" x14ac:dyDescent="0.25">
      <c r="A80" s="3" t="s">
        <v>648</v>
      </c>
      <c r="B80" s="3" t="s">
        <v>183</v>
      </c>
      <c r="C80" s="3" t="s">
        <v>493</v>
      </c>
      <c r="D80" s="3" t="s">
        <v>368</v>
      </c>
      <c r="E80" s="4">
        <v>46303</v>
      </c>
      <c r="F80" s="3">
        <v>21438664</v>
      </c>
      <c r="G80" s="3">
        <v>20798257</v>
      </c>
      <c r="H80" s="3" t="s">
        <v>17</v>
      </c>
      <c r="I80" s="3" t="s">
        <v>18</v>
      </c>
      <c r="J80" s="3" t="s">
        <v>50</v>
      </c>
      <c r="K80" s="3" t="s">
        <v>494</v>
      </c>
      <c r="L80" s="5">
        <v>1</v>
      </c>
      <c r="M80" s="3" t="s">
        <v>228</v>
      </c>
      <c r="N80" s="3" t="s">
        <v>229</v>
      </c>
      <c r="O80" s="5">
        <v>0</v>
      </c>
      <c r="P80" s="4">
        <v>45506</v>
      </c>
      <c r="Q80" s="3" t="s">
        <v>667</v>
      </c>
      <c r="R80" s="9"/>
      <c r="S80" s="9">
        <f ca="1">IF(OR(Q80="SIN PROCESAR",Q80="SIN ENVIAR",Q80="ENVIADO SIN ENTREGAR"),(IF((NETWORKDAYS(E80,TODAY()-1,$U$2:$AA$2))&lt;0,0,(NETWORKDAYS(E80,TODAY()-1,$U$2:$AA$2)))),0)</f>
        <v>2</v>
      </c>
      <c r="T80" s="3" t="s">
        <v>675</v>
      </c>
    </row>
    <row r="81" spans="1:20" x14ac:dyDescent="0.25">
      <c r="A81" s="3" t="s">
        <v>648</v>
      </c>
      <c r="B81" s="3" t="s">
        <v>183</v>
      </c>
      <c r="C81" s="3" t="s">
        <v>493</v>
      </c>
      <c r="D81" s="3" t="s">
        <v>368</v>
      </c>
      <c r="E81" s="4">
        <v>46303</v>
      </c>
      <c r="F81" s="3">
        <v>21438664</v>
      </c>
      <c r="G81" s="3">
        <v>20798257</v>
      </c>
      <c r="H81" s="3" t="s">
        <v>17</v>
      </c>
      <c r="I81" s="3" t="s">
        <v>18</v>
      </c>
      <c r="J81" s="3" t="s">
        <v>50</v>
      </c>
      <c r="K81" s="3" t="s">
        <v>494</v>
      </c>
      <c r="L81" s="5">
        <v>1</v>
      </c>
      <c r="M81" s="3" t="s">
        <v>497</v>
      </c>
      <c r="N81" s="3" t="s">
        <v>498</v>
      </c>
      <c r="O81" s="5">
        <v>0</v>
      </c>
      <c r="P81" s="4">
        <v>45506</v>
      </c>
      <c r="Q81" s="3" t="s">
        <v>667</v>
      </c>
      <c r="R81" s="9"/>
      <c r="S81" s="9">
        <f ca="1">IF(OR(Q81="SIN PROCESAR",Q81="SIN ENVIAR",Q81="ENVIADO SIN ENTREGAR"),(IF((NETWORKDAYS(E81,TODAY()-1,$U$2:$AA$2))&lt;0,0,(NETWORKDAYS(E81,TODAY()-1,$U$2:$AA$2)))),0)</f>
        <v>2</v>
      </c>
      <c r="T81" s="3" t="s">
        <v>675</v>
      </c>
    </row>
    <row r="82" spans="1:20" x14ac:dyDescent="0.25">
      <c r="A82" s="3" t="s">
        <v>648</v>
      </c>
      <c r="B82" s="3" t="s">
        <v>183</v>
      </c>
      <c r="C82" s="3" t="s">
        <v>493</v>
      </c>
      <c r="D82" s="3" t="s">
        <v>368</v>
      </c>
      <c r="E82" s="4">
        <v>46303</v>
      </c>
      <c r="F82" s="3">
        <v>21438664</v>
      </c>
      <c r="G82" s="3">
        <v>20798257</v>
      </c>
      <c r="H82" s="3" t="s">
        <v>17</v>
      </c>
      <c r="I82" s="3" t="s">
        <v>18</v>
      </c>
      <c r="J82" s="3" t="s">
        <v>50</v>
      </c>
      <c r="K82" s="3" t="s">
        <v>494</v>
      </c>
      <c r="L82" s="5">
        <v>1</v>
      </c>
      <c r="M82" s="3" t="s">
        <v>499</v>
      </c>
      <c r="N82" s="3" t="s">
        <v>500</v>
      </c>
      <c r="O82" s="5">
        <v>0</v>
      </c>
      <c r="P82" s="4">
        <v>45506</v>
      </c>
      <c r="Q82" s="3" t="s">
        <v>667</v>
      </c>
      <c r="R82" s="9"/>
      <c r="S82" s="9">
        <f ca="1">IF(OR(Q82="SIN PROCESAR",Q82="SIN ENVIAR",Q82="ENVIADO SIN ENTREGAR"),(IF((NETWORKDAYS(E82,TODAY()-1,$U$2:$AA$2))&lt;0,0,(NETWORKDAYS(E82,TODAY()-1,$U$2:$AA$2)))),0)</f>
        <v>2</v>
      </c>
      <c r="T82" s="3" t="s">
        <v>675</v>
      </c>
    </row>
    <row r="83" spans="1:20" x14ac:dyDescent="0.25">
      <c r="A83" s="3" t="s">
        <v>648</v>
      </c>
      <c r="B83" s="3" t="s">
        <v>183</v>
      </c>
      <c r="C83" s="3" t="s">
        <v>493</v>
      </c>
      <c r="D83" s="3" t="s">
        <v>368</v>
      </c>
      <c r="E83" s="4">
        <v>46303</v>
      </c>
      <c r="F83" s="3">
        <v>21438664</v>
      </c>
      <c r="G83" s="3">
        <v>20798257</v>
      </c>
      <c r="H83" s="3" t="s">
        <v>17</v>
      </c>
      <c r="I83" s="3" t="s">
        <v>18</v>
      </c>
      <c r="J83" s="3" t="s">
        <v>50</v>
      </c>
      <c r="K83" s="3" t="s">
        <v>494</v>
      </c>
      <c r="L83" s="5">
        <v>1</v>
      </c>
      <c r="M83" s="3" t="s">
        <v>501</v>
      </c>
      <c r="N83" s="3" t="s">
        <v>241</v>
      </c>
      <c r="O83" s="5">
        <v>0</v>
      </c>
      <c r="P83" s="4">
        <v>45506</v>
      </c>
      <c r="Q83" s="3" t="s">
        <v>667</v>
      </c>
      <c r="R83" s="9"/>
      <c r="S83" s="9">
        <f ca="1">IF(OR(Q83="SIN PROCESAR",Q83="SIN ENVIAR",Q83="ENVIADO SIN ENTREGAR"),(IF((NETWORKDAYS(E83,TODAY()-1,$U$2:$AA$2))&lt;0,0,(NETWORKDAYS(E83,TODAY()-1,$U$2:$AA$2)))),0)</f>
        <v>2</v>
      </c>
      <c r="T83" s="3" t="s">
        <v>675</v>
      </c>
    </row>
    <row r="84" spans="1:20" x14ac:dyDescent="0.25">
      <c r="A84" s="3" t="s">
        <v>648</v>
      </c>
      <c r="B84" s="3" t="s">
        <v>183</v>
      </c>
      <c r="C84" s="3" t="s">
        <v>493</v>
      </c>
      <c r="D84" s="3" t="s">
        <v>368</v>
      </c>
      <c r="E84" s="4">
        <v>46303</v>
      </c>
      <c r="F84" s="3">
        <v>21438664</v>
      </c>
      <c r="G84" s="3">
        <v>20798257</v>
      </c>
      <c r="H84" s="3" t="s">
        <v>17</v>
      </c>
      <c r="I84" s="3" t="s">
        <v>18</v>
      </c>
      <c r="J84" s="3" t="s">
        <v>50</v>
      </c>
      <c r="K84" s="3" t="s">
        <v>494</v>
      </c>
      <c r="L84" s="5">
        <v>3</v>
      </c>
      <c r="M84" s="3" t="s">
        <v>363</v>
      </c>
      <c r="N84" s="3" t="s">
        <v>364</v>
      </c>
      <c r="O84" s="5">
        <v>0</v>
      </c>
      <c r="P84" s="4">
        <v>45506</v>
      </c>
      <c r="Q84" s="3" t="s">
        <v>667</v>
      </c>
      <c r="R84" s="9"/>
      <c r="S84" s="9">
        <f ca="1">IF(OR(Q84="SIN PROCESAR",Q84="SIN ENVIAR",Q84="ENVIADO SIN ENTREGAR"),(IF((NETWORKDAYS(E84,TODAY()-1,$U$2:$AA$2))&lt;0,0,(NETWORKDAYS(E84,TODAY()-1,$U$2:$AA$2)))),0)</f>
        <v>2</v>
      </c>
      <c r="T84" s="3" t="s">
        <v>675</v>
      </c>
    </row>
    <row r="85" spans="1:20" x14ac:dyDescent="0.25">
      <c r="A85" s="3" t="s">
        <v>648</v>
      </c>
      <c r="B85" s="3" t="s">
        <v>183</v>
      </c>
      <c r="C85" s="3" t="s">
        <v>493</v>
      </c>
      <c r="D85" s="3" t="s">
        <v>368</v>
      </c>
      <c r="E85" s="4">
        <v>46303</v>
      </c>
      <c r="F85" s="3">
        <v>21438664</v>
      </c>
      <c r="G85" s="3">
        <v>20798257</v>
      </c>
      <c r="H85" s="3" t="s">
        <v>17</v>
      </c>
      <c r="I85" s="3" t="s">
        <v>18</v>
      </c>
      <c r="J85" s="3" t="s">
        <v>50</v>
      </c>
      <c r="K85" s="3" t="s">
        <v>494</v>
      </c>
      <c r="L85" s="5">
        <v>3</v>
      </c>
      <c r="M85" s="3" t="s">
        <v>386</v>
      </c>
      <c r="N85" s="3" t="s">
        <v>387</v>
      </c>
      <c r="O85" s="5">
        <v>0</v>
      </c>
      <c r="P85" s="4">
        <v>45506</v>
      </c>
      <c r="Q85" s="3" t="s">
        <v>667</v>
      </c>
      <c r="R85" s="9"/>
      <c r="S85" s="9">
        <f ca="1">IF(OR(Q85="SIN PROCESAR",Q85="SIN ENVIAR",Q85="ENVIADO SIN ENTREGAR"),(IF((NETWORKDAYS(E85,TODAY()-1,$U$2:$AA$2))&lt;0,0,(NETWORKDAYS(E85,TODAY()-1,$U$2:$AA$2)))),0)</f>
        <v>2</v>
      </c>
      <c r="T85" s="3" t="s">
        <v>675</v>
      </c>
    </row>
    <row r="86" spans="1:20" x14ac:dyDescent="0.25">
      <c r="A86" s="3" t="s">
        <v>648</v>
      </c>
      <c r="B86" s="3" t="s">
        <v>183</v>
      </c>
      <c r="C86" s="3" t="s">
        <v>493</v>
      </c>
      <c r="D86" s="3" t="s">
        <v>368</v>
      </c>
      <c r="E86" s="4">
        <v>46303</v>
      </c>
      <c r="F86" s="3">
        <v>21438664</v>
      </c>
      <c r="G86" s="3">
        <v>20798257</v>
      </c>
      <c r="H86" s="3" t="s">
        <v>17</v>
      </c>
      <c r="I86" s="3" t="s">
        <v>18</v>
      </c>
      <c r="J86" s="3" t="s">
        <v>50</v>
      </c>
      <c r="K86" s="3" t="s">
        <v>494</v>
      </c>
      <c r="L86" s="5">
        <v>3</v>
      </c>
      <c r="M86" s="3" t="s">
        <v>365</v>
      </c>
      <c r="N86" s="3" t="s">
        <v>366</v>
      </c>
      <c r="O86" s="5">
        <v>0</v>
      </c>
      <c r="P86" s="4">
        <v>45506</v>
      </c>
      <c r="Q86" s="3" t="s">
        <v>667</v>
      </c>
      <c r="R86" s="9"/>
      <c r="S86" s="9">
        <f ca="1">IF(OR(Q86="SIN PROCESAR",Q86="SIN ENVIAR",Q86="ENVIADO SIN ENTREGAR"),(IF((NETWORKDAYS(E86,TODAY()-1,$U$2:$AA$2))&lt;0,0,(NETWORKDAYS(E86,TODAY()-1,$U$2:$AA$2)))),0)</f>
        <v>2</v>
      </c>
      <c r="T86" s="3" t="s">
        <v>675</v>
      </c>
    </row>
    <row r="87" spans="1:20" x14ac:dyDescent="0.25">
      <c r="A87" s="3" t="s">
        <v>648</v>
      </c>
      <c r="B87" s="3" t="s">
        <v>183</v>
      </c>
      <c r="C87" s="3" t="s">
        <v>493</v>
      </c>
      <c r="D87" s="3" t="s">
        <v>368</v>
      </c>
      <c r="E87" s="4">
        <v>46303</v>
      </c>
      <c r="F87" s="3">
        <v>21438664</v>
      </c>
      <c r="G87" s="3">
        <v>20798257</v>
      </c>
      <c r="H87" s="3" t="s">
        <v>17</v>
      </c>
      <c r="I87" s="3" t="s">
        <v>18</v>
      </c>
      <c r="J87" s="3" t="s">
        <v>50</v>
      </c>
      <c r="K87" s="3" t="s">
        <v>494</v>
      </c>
      <c r="L87" s="5">
        <v>4</v>
      </c>
      <c r="M87" s="3" t="s">
        <v>238</v>
      </c>
      <c r="N87" s="3" t="s">
        <v>239</v>
      </c>
      <c r="O87" s="5">
        <v>0</v>
      </c>
      <c r="P87" s="4">
        <v>45506</v>
      </c>
      <c r="Q87" s="3" t="s">
        <v>667</v>
      </c>
      <c r="R87" s="9"/>
      <c r="S87" s="9">
        <f ca="1">IF(OR(Q87="SIN PROCESAR",Q87="SIN ENVIAR",Q87="ENVIADO SIN ENTREGAR"),(IF((NETWORKDAYS(E87,TODAY()-1,$U$2:$AA$2))&lt;0,0,(NETWORKDAYS(E87,TODAY()-1,$U$2:$AA$2)))),0)</f>
        <v>2</v>
      </c>
      <c r="T87" s="3" t="s">
        <v>675</v>
      </c>
    </row>
    <row r="88" spans="1:20" x14ac:dyDescent="0.25">
      <c r="A88" s="3" t="s">
        <v>654</v>
      </c>
      <c r="B88" s="3" t="s">
        <v>552</v>
      </c>
      <c r="C88" s="3" t="s">
        <v>553</v>
      </c>
      <c r="D88" s="3" t="s">
        <v>554</v>
      </c>
      <c r="E88" s="4">
        <v>46303</v>
      </c>
      <c r="F88" s="3">
        <v>21435988</v>
      </c>
      <c r="G88" s="3">
        <v>20797757</v>
      </c>
      <c r="H88" s="3" t="s">
        <v>36</v>
      </c>
      <c r="I88" s="3" t="s">
        <v>37</v>
      </c>
      <c r="J88" s="3" t="s">
        <v>19</v>
      </c>
      <c r="K88" s="3" t="s">
        <v>555</v>
      </c>
      <c r="L88" s="5">
        <v>1</v>
      </c>
      <c r="M88" s="3" t="s">
        <v>99</v>
      </c>
      <c r="N88" s="3" t="s">
        <v>100</v>
      </c>
      <c r="O88" s="5">
        <v>0</v>
      </c>
      <c r="P88" s="4">
        <v>46294</v>
      </c>
      <c r="Q88" s="3" t="s">
        <v>667</v>
      </c>
      <c r="R88" s="9"/>
      <c r="S88" s="9">
        <f ca="1">IF(OR(Q88="SIN PROCESAR",Q88="SIN ENVIAR",Q88="ENVIADO SIN ENTREGAR"),(IF((NETWORKDAYS(E88,TODAY()-1,$U$2:$AA$2))&lt;0,0,(NETWORKDAYS(E88,TODAY()-1,$U$2:$AA$2)))),0)</f>
        <v>2</v>
      </c>
      <c r="T88" s="3"/>
    </row>
    <row r="89" spans="1:20" x14ac:dyDescent="0.25">
      <c r="A89" s="3" t="s">
        <v>654</v>
      </c>
      <c r="B89" s="3" t="s">
        <v>552</v>
      </c>
      <c r="C89" s="3" t="s">
        <v>553</v>
      </c>
      <c r="D89" s="3" t="s">
        <v>554</v>
      </c>
      <c r="E89" s="4">
        <v>46303</v>
      </c>
      <c r="F89" s="3">
        <v>21435988</v>
      </c>
      <c r="G89" s="3">
        <v>20797757</v>
      </c>
      <c r="H89" s="3" t="s">
        <v>36</v>
      </c>
      <c r="I89" s="3" t="s">
        <v>37</v>
      </c>
      <c r="J89" s="3" t="s">
        <v>19</v>
      </c>
      <c r="K89" s="3" t="s">
        <v>556</v>
      </c>
      <c r="L89" s="5">
        <v>1</v>
      </c>
      <c r="M89" s="3" t="s">
        <v>557</v>
      </c>
      <c r="N89" s="3" t="s">
        <v>558</v>
      </c>
      <c r="O89" s="5">
        <v>0</v>
      </c>
      <c r="P89" s="4">
        <v>46294</v>
      </c>
      <c r="Q89" s="3" t="s">
        <v>667</v>
      </c>
      <c r="R89" s="9"/>
      <c r="S89" s="9">
        <f ca="1">IF(OR(Q89="SIN PROCESAR",Q89="SIN ENVIAR",Q89="ENVIADO SIN ENTREGAR"),(IF((NETWORKDAYS(E89,TODAY()-1,$U$2:$AA$2))&lt;0,0,(NETWORKDAYS(E89,TODAY()-1,$U$2:$AA$2)))),0)</f>
        <v>2</v>
      </c>
      <c r="T89" s="3"/>
    </row>
    <row r="90" spans="1:20" x14ac:dyDescent="0.25">
      <c r="A90" s="3" t="s">
        <v>654</v>
      </c>
      <c r="B90" s="3" t="s">
        <v>552</v>
      </c>
      <c r="C90" s="3" t="s">
        <v>553</v>
      </c>
      <c r="D90" s="3" t="s">
        <v>554</v>
      </c>
      <c r="E90" s="4">
        <v>46303</v>
      </c>
      <c r="F90" s="3">
        <v>21435988</v>
      </c>
      <c r="G90" s="3">
        <v>20797757</v>
      </c>
      <c r="H90" s="3" t="s">
        <v>36</v>
      </c>
      <c r="I90" s="3" t="s">
        <v>37</v>
      </c>
      <c r="J90" s="3" t="s">
        <v>19</v>
      </c>
      <c r="K90" s="3" t="s">
        <v>559</v>
      </c>
      <c r="L90" s="5">
        <v>1</v>
      </c>
      <c r="M90" s="3" t="s">
        <v>560</v>
      </c>
      <c r="N90" s="3" t="s">
        <v>561</v>
      </c>
      <c r="O90" s="5">
        <v>1</v>
      </c>
      <c r="P90" s="4">
        <v>46304</v>
      </c>
      <c r="Q90" s="3" t="s">
        <v>671</v>
      </c>
      <c r="R90" s="9"/>
      <c r="S90" s="9">
        <f ca="1">IF(OR(Q90="SIN PROCESAR",Q90="SIN ENVIAR",Q90="ENVIADO SIN ENTREGAR"),(IF((NETWORKDAYS(E90,TODAY()-1,$U$2:$AA$2))&lt;0,0,(NETWORKDAYS(E90,TODAY()-1,$U$2:$AA$2)))),0)</f>
        <v>2</v>
      </c>
      <c r="T90" s="3"/>
    </row>
    <row r="91" spans="1:20" x14ac:dyDescent="0.25">
      <c r="A91" s="3" t="s">
        <v>657</v>
      </c>
      <c r="B91" s="3" t="s">
        <v>215</v>
      </c>
      <c r="C91" s="3" t="s">
        <v>570</v>
      </c>
      <c r="D91" s="3" t="s">
        <v>571</v>
      </c>
      <c r="E91" s="4">
        <v>46303</v>
      </c>
      <c r="F91" s="3">
        <v>21450966</v>
      </c>
      <c r="G91" s="3">
        <v>20798833</v>
      </c>
      <c r="H91" s="3" t="s">
        <v>78</v>
      </c>
      <c r="I91" s="3" t="s">
        <v>49</v>
      </c>
      <c r="J91" s="3" t="s">
        <v>19</v>
      </c>
      <c r="K91" s="3" t="s">
        <v>572</v>
      </c>
      <c r="L91" s="5">
        <v>1</v>
      </c>
      <c r="M91" s="3" t="s">
        <v>397</v>
      </c>
      <c r="N91" s="3" t="s">
        <v>398</v>
      </c>
      <c r="O91" s="5">
        <v>1</v>
      </c>
      <c r="P91" s="4">
        <v>46303</v>
      </c>
      <c r="Q91" s="3" t="s">
        <v>671</v>
      </c>
      <c r="R91" s="9">
        <v>958132</v>
      </c>
      <c r="S91" s="9">
        <f ca="1">IF(OR(Q91="SIN PROCESAR",Q91="SIN ENVIAR",Q91="ENVIADO SIN ENTREGAR"),(IF((NETWORKDAYS(E91,TODAY()-1,$U$2:$AA$2))&lt;0,0,(NETWORKDAYS(E91,TODAY()-1,$U$2:$AA$2)))),0)</f>
        <v>2</v>
      </c>
      <c r="T91" s="3" t="s">
        <v>732</v>
      </c>
    </row>
    <row r="92" spans="1:20" x14ac:dyDescent="0.25">
      <c r="A92" s="3" t="s">
        <v>657</v>
      </c>
      <c r="B92" s="3" t="s">
        <v>215</v>
      </c>
      <c r="C92" s="3" t="s">
        <v>570</v>
      </c>
      <c r="D92" s="3" t="s">
        <v>571</v>
      </c>
      <c r="E92" s="4">
        <v>46303</v>
      </c>
      <c r="F92" s="3">
        <v>21450966</v>
      </c>
      <c r="G92" s="3">
        <v>20798833</v>
      </c>
      <c r="H92" s="3" t="s">
        <v>78</v>
      </c>
      <c r="I92" s="3" t="s">
        <v>49</v>
      </c>
      <c r="J92" s="3" t="s">
        <v>19</v>
      </c>
      <c r="K92" s="3" t="s">
        <v>572</v>
      </c>
      <c r="L92" s="5">
        <v>2</v>
      </c>
      <c r="M92" s="3" t="s">
        <v>133</v>
      </c>
      <c r="N92" s="3" t="s">
        <v>134</v>
      </c>
      <c r="O92" s="5">
        <v>2</v>
      </c>
      <c r="P92" s="4">
        <v>46303</v>
      </c>
      <c r="Q92" s="3" t="s">
        <v>671</v>
      </c>
      <c r="R92" s="9">
        <v>958132</v>
      </c>
      <c r="S92" s="9">
        <f ca="1">IF(OR(Q92="SIN PROCESAR",Q92="SIN ENVIAR",Q92="ENVIADO SIN ENTREGAR"),(IF((NETWORKDAYS(E92,TODAY()-1,$U$2:$AA$2))&lt;0,0,(NETWORKDAYS(E92,TODAY()-1,$U$2:$AA$2)))),0)</f>
        <v>2</v>
      </c>
      <c r="T92" s="3" t="s">
        <v>732</v>
      </c>
    </row>
    <row r="93" spans="1:20" x14ac:dyDescent="0.25">
      <c r="A93" s="3" t="s">
        <v>612</v>
      </c>
      <c r="B93" s="3" t="s">
        <v>58</v>
      </c>
      <c r="C93" s="3" t="s">
        <v>59</v>
      </c>
      <c r="D93" s="3" t="s">
        <v>60</v>
      </c>
      <c r="E93" s="4">
        <v>46304</v>
      </c>
      <c r="F93" s="3">
        <v>21436346</v>
      </c>
      <c r="G93" s="3">
        <v>20806348</v>
      </c>
      <c r="H93" s="3" t="s">
        <v>36</v>
      </c>
      <c r="I93" s="3" t="s">
        <v>37</v>
      </c>
      <c r="J93" s="3" t="s">
        <v>19</v>
      </c>
      <c r="K93" s="3" t="s">
        <v>72</v>
      </c>
      <c r="L93" s="5">
        <v>1</v>
      </c>
      <c r="M93" s="3" t="s">
        <v>68</v>
      </c>
      <c r="N93" s="3" t="s">
        <v>69</v>
      </c>
      <c r="O93" s="5">
        <v>0</v>
      </c>
      <c r="P93" s="4">
        <v>46302</v>
      </c>
      <c r="Q93" s="3" t="s">
        <v>667</v>
      </c>
      <c r="R93" s="9"/>
      <c r="S93" s="9">
        <f ca="1">IF(OR(Q93="SIN PROCESAR",Q93="SIN ENVIAR",Q93="ENVIADO SIN ENTREGAR"),(IF((NETWORKDAYS(E93,TODAY()-1,$U$2:$AA$2))&lt;0,0,(NETWORKDAYS(E93,TODAY()-1,$U$2:$AA$2)))),0)</f>
        <v>1</v>
      </c>
      <c r="T93" s="3"/>
    </row>
    <row r="94" spans="1:20" x14ac:dyDescent="0.25">
      <c r="A94" s="3" t="s">
        <v>612</v>
      </c>
      <c r="B94" s="3" t="s">
        <v>58</v>
      </c>
      <c r="C94" s="3" t="s">
        <v>59</v>
      </c>
      <c r="D94" s="3" t="s">
        <v>60</v>
      </c>
      <c r="E94" s="4">
        <v>46304</v>
      </c>
      <c r="F94" s="3">
        <v>21436346</v>
      </c>
      <c r="G94" s="3">
        <v>20806348</v>
      </c>
      <c r="H94" s="3" t="s">
        <v>36</v>
      </c>
      <c r="I94" s="3" t="s">
        <v>37</v>
      </c>
      <c r="J94" s="3" t="s">
        <v>19</v>
      </c>
      <c r="K94" s="3" t="s">
        <v>72</v>
      </c>
      <c r="L94" s="5">
        <v>3</v>
      </c>
      <c r="M94" s="3" t="s">
        <v>31</v>
      </c>
      <c r="N94" s="3" t="s">
        <v>32</v>
      </c>
      <c r="O94" s="5">
        <v>0</v>
      </c>
      <c r="P94" s="4">
        <v>46302</v>
      </c>
      <c r="Q94" s="3" t="s">
        <v>667</v>
      </c>
      <c r="R94" s="9"/>
      <c r="S94" s="9">
        <f ca="1">IF(OR(Q94="SIN PROCESAR",Q94="SIN ENVIAR",Q94="ENVIADO SIN ENTREGAR"),(IF((NETWORKDAYS(E94,TODAY()-1,$U$2:$AA$2))&lt;0,0,(NETWORKDAYS(E94,TODAY()-1,$U$2:$AA$2)))),0)</f>
        <v>1</v>
      </c>
      <c r="T94" s="3"/>
    </row>
    <row r="95" spans="1:20" x14ac:dyDescent="0.25">
      <c r="A95" s="3" t="s">
        <v>613</v>
      </c>
      <c r="B95" s="3" t="s">
        <v>75</v>
      </c>
      <c r="C95" s="3" t="s">
        <v>76</v>
      </c>
      <c r="D95" s="3" t="s">
        <v>77</v>
      </c>
      <c r="E95" s="4">
        <v>46304</v>
      </c>
      <c r="F95" s="3">
        <v>21459360</v>
      </c>
      <c r="G95" s="3">
        <v>20806656</v>
      </c>
      <c r="H95" s="3" t="s">
        <v>78</v>
      </c>
      <c r="I95" s="3" t="s">
        <v>49</v>
      </c>
      <c r="J95" s="3" t="s">
        <v>19</v>
      </c>
      <c r="K95" s="3" t="s">
        <v>79</v>
      </c>
      <c r="L95" s="5">
        <v>1</v>
      </c>
      <c r="M95" s="3" t="s">
        <v>80</v>
      </c>
      <c r="N95" s="3" t="s">
        <v>81</v>
      </c>
      <c r="O95" s="5">
        <v>0</v>
      </c>
      <c r="P95" s="4">
        <v>45071</v>
      </c>
      <c r="Q95" s="3" t="s">
        <v>667</v>
      </c>
      <c r="R95" s="9"/>
      <c r="S95" s="9">
        <f ca="1">IF(OR(Q95="SIN PROCESAR",Q95="SIN ENVIAR",Q95="ENVIADO SIN ENTREGAR"),(IF((NETWORKDAYS(E95,TODAY()-1,$U$2:$AA$2))&lt;0,0,(NETWORKDAYS(E95,TODAY()-1,$U$2:$AA$2)))),0)</f>
        <v>1</v>
      </c>
      <c r="T95" s="3"/>
    </row>
    <row r="96" spans="1:20" x14ac:dyDescent="0.25">
      <c r="A96" s="3" t="s">
        <v>613</v>
      </c>
      <c r="B96" s="3" t="s">
        <v>75</v>
      </c>
      <c r="C96" s="3" t="s">
        <v>76</v>
      </c>
      <c r="D96" s="3" t="s">
        <v>77</v>
      </c>
      <c r="E96" s="4">
        <v>46304</v>
      </c>
      <c r="F96" s="3">
        <v>21459360</v>
      </c>
      <c r="G96" s="3">
        <v>20806656</v>
      </c>
      <c r="H96" s="3" t="s">
        <v>78</v>
      </c>
      <c r="I96" s="3" t="s">
        <v>49</v>
      </c>
      <c r="J96" s="3" t="s">
        <v>19</v>
      </c>
      <c r="K96" s="3" t="s">
        <v>79</v>
      </c>
      <c r="L96" s="5">
        <v>1</v>
      </c>
      <c r="M96" s="3" t="s">
        <v>82</v>
      </c>
      <c r="N96" s="3" t="s">
        <v>83</v>
      </c>
      <c r="O96" s="5">
        <v>0</v>
      </c>
      <c r="P96" s="4">
        <v>45071</v>
      </c>
      <c r="Q96" s="3" t="s">
        <v>667</v>
      </c>
      <c r="R96" s="9"/>
      <c r="S96" s="9">
        <f ca="1">IF(OR(Q96="SIN PROCESAR",Q96="SIN ENVIAR",Q96="ENVIADO SIN ENTREGAR"),(IF((NETWORKDAYS(E96,TODAY()-1,$U$2:$AA$2))&lt;0,0,(NETWORKDAYS(E96,TODAY()-1,$U$2:$AA$2)))),0)</f>
        <v>1</v>
      </c>
      <c r="T96" s="3"/>
    </row>
    <row r="97" spans="1:20" x14ac:dyDescent="0.25">
      <c r="A97" s="3" t="s">
        <v>613</v>
      </c>
      <c r="B97" s="3" t="s">
        <v>75</v>
      </c>
      <c r="C97" s="3" t="s">
        <v>76</v>
      </c>
      <c r="D97" s="3" t="s">
        <v>77</v>
      </c>
      <c r="E97" s="4">
        <v>46304</v>
      </c>
      <c r="F97" s="3">
        <v>21459360</v>
      </c>
      <c r="G97" s="3">
        <v>20806656</v>
      </c>
      <c r="H97" s="3" t="s">
        <v>78</v>
      </c>
      <c r="I97" s="3" t="s">
        <v>49</v>
      </c>
      <c r="J97" s="3" t="s">
        <v>19</v>
      </c>
      <c r="K97" s="3" t="s">
        <v>79</v>
      </c>
      <c r="L97" s="5">
        <v>1</v>
      </c>
      <c r="M97" s="3" t="s">
        <v>84</v>
      </c>
      <c r="N97" s="3" t="s">
        <v>85</v>
      </c>
      <c r="O97" s="5">
        <v>0</v>
      </c>
      <c r="P97" s="4">
        <v>45071</v>
      </c>
      <c r="Q97" s="3" t="s">
        <v>667</v>
      </c>
      <c r="R97" s="9"/>
      <c r="S97" s="9">
        <f ca="1">IF(OR(Q97="SIN PROCESAR",Q97="SIN ENVIAR",Q97="ENVIADO SIN ENTREGAR"),(IF((NETWORKDAYS(E97,TODAY()-1,$U$2:$AA$2))&lt;0,0,(NETWORKDAYS(E97,TODAY()-1,$U$2:$AA$2)))),0)</f>
        <v>1</v>
      </c>
      <c r="T97" s="3"/>
    </row>
    <row r="98" spans="1:20" x14ac:dyDescent="0.25">
      <c r="A98" s="3" t="s">
        <v>613</v>
      </c>
      <c r="B98" s="3" t="s">
        <v>75</v>
      </c>
      <c r="C98" s="3" t="s">
        <v>76</v>
      </c>
      <c r="D98" s="3" t="s">
        <v>77</v>
      </c>
      <c r="E98" s="4">
        <v>46304</v>
      </c>
      <c r="F98" s="3">
        <v>21459360</v>
      </c>
      <c r="G98" s="3">
        <v>20806656</v>
      </c>
      <c r="H98" s="3" t="s">
        <v>78</v>
      </c>
      <c r="I98" s="3" t="s">
        <v>49</v>
      </c>
      <c r="J98" s="3" t="s">
        <v>19</v>
      </c>
      <c r="K98" s="3" t="s">
        <v>79</v>
      </c>
      <c r="L98" s="5">
        <v>1</v>
      </c>
      <c r="M98" s="3" t="s">
        <v>86</v>
      </c>
      <c r="N98" s="3" t="s">
        <v>87</v>
      </c>
      <c r="O98" s="5">
        <v>0</v>
      </c>
      <c r="P98" s="4">
        <v>45071</v>
      </c>
      <c r="Q98" s="3" t="s">
        <v>667</v>
      </c>
      <c r="R98" s="9"/>
      <c r="S98" s="9">
        <f ca="1">IF(OR(Q98="SIN PROCESAR",Q98="SIN ENVIAR",Q98="ENVIADO SIN ENTREGAR"),(IF((NETWORKDAYS(E98,TODAY()-1,$U$2:$AA$2))&lt;0,0,(NETWORKDAYS(E98,TODAY()-1,$U$2:$AA$2)))),0)</f>
        <v>1</v>
      </c>
      <c r="T98" s="3"/>
    </row>
    <row r="99" spans="1:20" x14ac:dyDescent="0.25">
      <c r="A99" s="3" t="s">
        <v>613</v>
      </c>
      <c r="B99" s="3" t="s">
        <v>75</v>
      </c>
      <c r="C99" s="3" t="s">
        <v>76</v>
      </c>
      <c r="D99" s="3" t="s">
        <v>77</v>
      </c>
      <c r="E99" s="4">
        <v>46304</v>
      </c>
      <c r="F99" s="3">
        <v>21459360</v>
      </c>
      <c r="G99" s="3">
        <v>20806656</v>
      </c>
      <c r="H99" s="3" t="s">
        <v>78</v>
      </c>
      <c r="I99" s="3" t="s">
        <v>49</v>
      </c>
      <c r="J99" s="3" t="s">
        <v>19</v>
      </c>
      <c r="K99" s="3" t="s">
        <v>79</v>
      </c>
      <c r="L99" s="5">
        <v>2</v>
      </c>
      <c r="M99" s="3" t="s">
        <v>88</v>
      </c>
      <c r="N99" s="3" t="s">
        <v>89</v>
      </c>
      <c r="O99" s="5">
        <v>0</v>
      </c>
      <c r="P99" s="4">
        <v>45071</v>
      </c>
      <c r="Q99" s="3" t="s">
        <v>667</v>
      </c>
      <c r="R99" s="9"/>
      <c r="S99" s="9">
        <f ca="1">IF(OR(Q99="SIN PROCESAR",Q99="SIN ENVIAR",Q99="ENVIADO SIN ENTREGAR"),(IF((NETWORKDAYS(E99,TODAY()-1,$U$2:$AA$2))&lt;0,0,(NETWORKDAYS(E99,TODAY()-1,$U$2:$AA$2)))),0)</f>
        <v>1</v>
      </c>
      <c r="T99" s="3"/>
    </row>
    <row r="100" spans="1:20" x14ac:dyDescent="0.25">
      <c r="A100" s="3" t="s">
        <v>613</v>
      </c>
      <c r="B100" s="3" t="s">
        <v>95</v>
      </c>
      <c r="C100" s="3" t="s">
        <v>96</v>
      </c>
      <c r="D100" s="3" t="s">
        <v>97</v>
      </c>
      <c r="E100" s="4">
        <v>46304</v>
      </c>
      <c r="F100" s="3">
        <v>21447002</v>
      </c>
      <c r="G100" s="3">
        <v>20804739</v>
      </c>
      <c r="H100" s="3" t="s">
        <v>17</v>
      </c>
      <c r="I100" s="3" t="s">
        <v>37</v>
      </c>
      <c r="J100" s="3" t="s">
        <v>19</v>
      </c>
      <c r="K100" s="3" t="s">
        <v>98</v>
      </c>
      <c r="L100" s="5">
        <v>1</v>
      </c>
      <c r="M100" s="3" t="s">
        <v>99</v>
      </c>
      <c r="N100" s="3" t="s">
        <v>100</v>
      </c>
      <c r="O100" s="5">
        <v>0</v>
      </c>
      <c r="P100" s="4">
        <v>46300</v>
      </c>
      <c r="Q100" s="3" t="s">
        <v>667</v>
      </c>
      <c r="R100" s="9"/>
      <c r="S100" s="9">
        <f ca="1">IF(OR(Q100="SIN PROCESAR",Q100="SIN ENVIAR",Q100="ENVIADO SIN ENTREGAR"),(IF((NETWORKDAYS(E100,TODAY()-1,$U$2:$AA$2))&lt;0,0,(NETWORKDAYS(E100,TODAY()-1,$U$2:$AA$2)))),0)</f>
        <v>1</v>
      </c>
      <c r="T100" s="3"/>
    </row>
    <row r="101" spans="1:20" x14ac:dyDescent="0.25">
      <c r="A101" s="3" t="s">
        <v>613</v>
      </c>
      <c r="B101" s="3" t="s">
        <v>101</v>
      </c>
      <c r="C101" s="3" t="s">
        <v>102</v>
      </c>
      <c r="D101" s="3" t="s">
        <v>103</v>
      </c>
      <c r="E101" s="4">
        <v>46304</v>
      </c>
      <c r="F101" s="3">
        <v>21441320</v>
      </c>
      <c r="G101" s="3">
        <v>20803801</v>
      </c>
      <c r="H101" s="3" t="s">
        <v>17</v>
      </c>
      <c r="I101" s="3" t="s">
        <v>18</v>
      </c>
      <c r="J101" s="3" t="s">
        <v>19</v>
      </c>
      <c r="K101" s="3" t="s">
        <v>104</v>
      </c>
      <c r="L101" s="5">
        <v>1</v>
      </c>
      <c r="M101" s="3" t="s">
        <v>105</v>
      </c>
      <c r="N101" s="3" t="s">
        <v>106</v>
      </c>
      <c r="O101" s="5">
        <v>0</v>
      </c>
      <c r="P101" s="4">
        <v>46300</v>
      </c>
      <c r="Q101" s="3" t="s">
        <v>667</v>
      </c>
      <c r="R101" s="9"/>
      <c r="S101" s="9">
        <f ca="1">IF(OR(Q101="SIN PROCESAR",Q101="SIN ENVIAR",Q101="ENVIADO SIN ENTREGAR"),(IF((NETWORKDAYS(E101,TODAY()-1,$U$2:$AA$2))&lt;0,0,(NETWORKDAYS(E101,TODAY()-1,$U$2:$AA$2)))),0)</f>
        <v>1</v>
      </c>
      <c r="T101" s="3"/>
    </row>
    <row r="102" spans="1:20" x14ac:dyDescent="0.25">
      <c r="A102" s="3" t="s">
        <v>613</v>
      </c>
      <c r="B102" s="3" t="s">
        <v>101</v>
      </c>
      <c r="C102" s="3" t="s">
        <v>102</v>
      </c>
      <c r="D102" s="3" t="s">
        <v>103</v>
      </c>
      <c r="E102" s="4">
        <v>46304</v>
      </c>
      <c r="F102" s="3">
        <v>21441320</v>
      </c>
      <c r="G102" s="3">
        <v>20803801</v>
      </c>
      <c r="H102" s="3" t="s">
        <v>17</v>
      </c>
      <c r="I102" s="3" t="s">
        <v>18</v>
      </c>
      <c r="J102" s="3" t="s">
        <v>19</v>
      </c>
      <c r="K102" s="3" t="s">
        <v>104</v>
      </c>
      <c r="L102" s="5">
        <v>1</v>
      </c>
      <c r="M102" s="3" t="s">
        <v>107</v>
      </c>
      <c r="N102" s="3" t="s">
        <v>108</v>
      </c>
      <c r="O102" s="5">
        <v>0</v>
      </c>
      <c r="P102" s="4">
        <v>46300</v>
      </c>
      <c r="Q102" s="3" t="s">
        <v>667</v>
      </c>
      <c r="R102" s="9"/>
      <c r="S102" s="9">
        <f ca="1">IF(OR(Q102="SIN PROCESAR",Q102="SIN ENVIAR",Q102="ENVIADO SIN ENTREGAR"),(IF((NETWORKDAYS(E102,TODAY()-1,$U$2:$AA$2))&lt;0,0,(NETWORKDAYS(E102,TODAY()-1,$U$2:$AA$2)))),0)</f>
        <v>1</v>
      </c>
      <c r="T102" s="3"/>
    </row>
    <row r="103" spans="1:20" x14ac:dyDescent="0.25">
      <c r="A103" s="3" t="s">
        <v>613</v>
      </c>
      <c r="B103" s="3" t="s">
        <v>101</v>
      </c>
      <c r="C103" s="3" t="s">
        <v>102</v>
      </c>
      <c r="D103" s="3" t="s">
        <v>103</v>
      </c>
      <c r="E103" s="4">
        <v>46304</v>
      </c>
      <c r="F103" s="3">
        <v>21441320</v>
      </c>
      <c r="G103" s="3">
        <v>20803801</v>
      </c>
      <c r="H103" s="3" t="s">
        <v>17</v>
      </c>
      <c r="I103" s="3" t="s">
        <v>18</v>
      </c>
      <c r="J103" s="3" t="s">
        <v>19</v>
      </c>
      <c r="K103" s="3" t="s">
        <v>104</v>
      </c>
      <c r="L103" s="5">
        <v>1</v>
      </c>
      <c r="M103" s="3" t="s">
        <v>109</v>
      </c>
      <c r="N103" s="3" t="s">
        <v>110</v>
      </c>
      <c r="O103" s="5">
        <v>0</v>
      </c>
      <c r="P103" s="4">
        <v>46300</v>
      </c>
      <c r="Q103" s="3" t="s">
        <v>667</v>
      </c>
      <c r="R103" s="9"/>
      <c r="S103" s="9">
        <f ca="1">IF(OR(Q103="SIN PROCESAR",Q103="SIN ENVIAR",Q103="ENVIADO SIN ENTREGAR"),(IF((NETWORKDAYS(E103,TODAY()-1,$U$2:$AA$2))&lt;0,0,(NETWORKDAYS(E103,TODAY()-1,$U$2:$AA$2)))),0)</f>
        <v>1</v>
      </c>
      <c r="T103" s="3"/>
    </row>
    <row r="104" spans="1:20" x14ac:dyDescent="0.25">
      <c r="A104" s="3" t="s">
        <v>615</v>
      </c>
      <c r="B104" s="3" t="s">
        <v>142</v>
      </c>
      <c r="C104" s="3" t="s">
        <v>143</v>
      </c>
      <c r="D104" s="3" t="s">
        <v>144</v>
      </c>
      <c r="E104" s="4">
        <v>46304</v>
      </c>
      <c r="F104" s="3">
        <v>21454808</v>
      </c>
      <c r="G104" s="3">
        <v>20805562</v>
      </c>
      <c r="H104" s="3" t="s">
        <v>17</v>
      </c>
      <c r="I104" s="3" t="s">
        <v>18</v>
      </c>
      <c r="J104" s="3" t="s">
        <v>50</v>
      </c>
      <c r="K104" s="3" t="s">
        <v>145</v>
      </c>
      <c r="L104" s="5">
        <v>1</v>
      </c>
      <c r="M104" s="3" t="s">
        <v>146</v>
      </c>
      <c r="N104" s="3" t="s">
        <v>147</v>
      </c>
      <c r="O104" s="5">
        <v>0</v>
      </c>
      <c r="P104" s="4">
        <v>46280</v>
      </c>
      <c r="Q104" s="3" t="s">
        <v>667</v>
      </c>
      <c r="R104" s="9"/>
      <c r="S104" s="9">
        <f ca="1">IF(OR(Q104="SIN PROCESAR",Q104="SIN ENVIAR",Q104="ENVIADO SIN ENTREGAR"),(IF((NETWORKDAYS(E104,TODAY()-1,$U$2:$AA$2))&lt;0,0,(NETWORKDAYS(E104,TODAY()-1,$U$2:$AA$2)))),0)</f>
        <v>1</v>
      </c>
      <c r="T104" s="3"/>
    </row>
    <row r="105" spans="1:20" x14ac:dyDescent="0.25">
      <c r="A105" s="3" t="s">
        <v>615</v>
      </c>
      <c r="B105" s="3" t="s">
        <v>148</v>
      </c>
      <c r="C105" s="3" t="s">
        <v>149</v>
      </c>
      <c r="D105" s="3" t="s">
        <v>150</v>
      </c>
      <c r="E105" s="4">
        <v>46304</v>
      </c>
      <c r="F105" s="3">
        <v>21455996</v>
      </c>
      <c r="G105" s="3">
        <v>20802718</v>
      </c>
      <c r="H105" s="3" t="s">
        <v>36</v>
      </c>
      <c r="I105" s="3" t="s">
        <v>42</v>
      </c>
      <c r="J105" s="3" t="s">
        <v>50</v>
      </c>
      <c r="K105" s="3" t="s">
        <v>151</v>
      </c>
      <c r="L105" s="5">
        <v>2</v>
      </c>
      <c r="M105" s="3" t="s">
        <v>152</v>
      </c>
      <c r="N105" s="3" t="s">
        <v>153</v>
      </c>
      <c r="O105" s="5">
        <v>2</v>
      </c>
      <c r="P105" s="4">
        <v>46304</v>
      </c>
      <c r="Q105" s="3" t="s">
        <v>671</v>
      </c>
      <c r="R105" s="9"/>
      <c r="S105" s="9">
        <f ca="1">IF(OR(Q105="SIN PROCESAR",Q105="SIN ENVIAR",Q105="ENVIADO SIN ENTREGAR"),(IF((NETWORKDAYS(E105,TODAY()-1,$U$2:$AA$2))&lt;0,0,(NETWORKDAYS(E105,TODAY()-1,$U$2:$AA$2)))),0)</f>
        <v>1</v>
      </c>
      <c r="T105" s="3"/>
    </row>
    <row r="106" spans="1:20" x14ac:dyDescent="0.25">
      <c r="A106" s="3" t="s">
        <v>617</v>
      </c>
      <c r="B106" s="3" t="s">
        <v>191</v>
      </c>
      <c r="C106" s="3" t="s">
        <v>192</v>
      </c>
      <c r="D106" s="3" t="s">
        <v>137</v>
      </c>
      <c r="E106" s="4">
        <v>46304</v>
      </c>
      <c r="F106" s="3">
        <v>21271388</v>
      </c>
      <c r="G106" s="3">
        <v>20800126</v>
      </c>
      <c r="H106" s="3" t="s">
        <v>17</v>
      </c>
      <c r="I106" s="3" t="s">
        <v>42</v>
      </c>
      <c r="J106" s="3" t="s">
        <v>19</v>
      </c>
      <c r="K106" s="3" t="s">
        <v>193</v>
      </c>
      <c r="L106" s="5">
        <v>1</v>
      </c>
      <c r="M106" s="3" t="s">
        <v>171</v>
      </c>
      <c r="N106" s="3" t="s">
        <v>172</v>
      </c>
      <c r="O106" s="5">
        <v>1</v>
      </c>
      <c r="P106" s="4">
        <v>46304</v>
      </c>
      <c r="Q106" s="3" t="s">
        <v>667</v>
      </c>
      <c r="R106" s="9"/>
      <c r="S106" s="9">
        <f ca="1">IF(OR(Q106="SIN PROCESAR",Q106="SIN ENVIAR",Q106="ENVIADO SIN ENTREGAR"),(IF((NETWORKDAYS(E106,TODAY()-1,$U$2:$AA$2))&lt;0,0,(NETWORKDAYS(E106,TODAY()-1,$U$2:$AA$2)))),0)</f>
        <v>1</v>
      </c>
      <c r="T106" s="3" t="s">
        <v>675</v>
      </c>
    </row>
    <row r="107" spans="1:20" x14ac:dyDescent="0.25">
      <c r="A107" s="3" t="s">
        <v>617</v>
      </c>
      <c r="B107" s="3" t="s">
        <v>191</v>
      </c>
      <c r="C107" s="3" t="s">
        <v>192</v>
      </c>
      <c r="D107" s="3" t="s">
        <v>137</v>
      </c>
      <c r="E107" s="4">
        <v>46304</v>
      </c>
      <c r="F107" s="3">
        <v>21271388</v>
      </c>
      <c r="G107" s="3">
        <v>20800126</v>
      </c>
      <c r="H107" s="3" t="s">
        <v>17</v>
      </c>
      <c r="I107" s="3" t="s">
        <v>42</v>
      </c>
      <c r="J107" s="3" t="s">
        <v>19</v>
      </c>
      <c r="K107" s="3" t="s">
        <v>193</v>
      </c>
      <c r="L107" s="5">
        <v>1</v>
      </c>
      <c r="M107" s="3" t="s">
        <v>194</v>
      </c>
      <c r="N107" s="3" t="s">
        <v>195</v>
      </c>
      <c r="O107" s="5">
        <v>1</v>
      </c>
      <c r="P107" s="4">
        <v>46304</v>
      </c>
      <c r="Q107" s="3" t="s">
        <v>667</v>
      </c>
      <c r="R107" s="9"/>
      <c r="S107" s="9">
        <f ca="1">IF(OR(Q107="SIN PROCESAR",Q107="SIN ENVIAR",Q107="ENVIADO SIN ENTREGAR"),(IF((NETWORKDAYS(E107,TODAY()-1,$U$2:$AA$2))&lt;0,0,(NETWORKDAYS(E107,TODAY()-1,$U$2:$AA$2)))),0)</f>
        <v>1</v>
      </c>
      <c r="T107" s="3" t="s">
        <v>675</v>
      </c>
    </row>
    <row r="108" spans="1:20" x14ac:dyDescent="0.25">
      <c r="A108" s="3" t="s">
        <v>618</v>
      </c>
      <c r="B108" s="3" t="s">
        <v>14</v>
      </c>
      <c r="C108" s="3" t="s">
        <v>205</v>
      </c>
      <c r="D108" s="3" t="s">
        <v>206</v>
      </c>
      <c r="E108" s="4">
        <v>46304</v>
      </c>
      <c r="F108" s="3">
        <v>21439290</v>
      </c>
      <c r="G108" s="3">
        <v>20800115</v>
      </c>
      <c r="H108" s="3" t="s">
        <v>158</v>
      </c>
      <c r="I108" s="3" t="s">
        <v>18</v>
      </c>
      <c r="J108" s="3" t="s">
        <v>19</v>
      </c>
      <c r="K108" s="3" t="s">
        <v>207</v>
      </c>
      <c r="L108" s="5">
        <v>1</v>
      </c>
      <c r="M108" s="3" t="s">
        <v>21</v>
      </c>
      <c r="N108" s="3" t="s">
        <v>22</v>
      </c>
      <c r="O108" s="5">
        <v>1</v>
      </c>
      <c r="P108" s="4">
        <v>46304</v>
      </c>
      <c r="Q108" s="3" t="s">
        <v>671</v>
      </c>
      <c r="R108" s="9">
        <v>958143</v>
      </c>
      <c r="S108" s="9">
        <f ca="1">IF(OR(Q108="SIN PROCESAR",Q108="SIN ENVIAR",Q108="ENVIADO SIN ENTREGAR"),(IF((NETWORKDAYS(E108,TODAY()-1,$U$2:$AA$2))&lt;0,0,(NETWORKDAYS(E108,TODAY()-1,$U$2:$AA$2)))),0)</f>
        <v>1</v>
      </c>
      <c r="T108" s="3" t="s">
        <v>688</v>
      </c>
    </row>
    <row r="109" spans="1:20" x14ac:dyDescent="0.25">
      <c r="A109" s="3" t="s">
        <v>619</v>
      </c>
      <c r="B109" s="3" t="s">
        <v>209</v>
      </c>
      <c r="C109" s="3" t="s">
        <v>210</v>
      </c>
      <c r="D109" s="3" t="s">
        <v>208</v>
      </c>
      <c r="E109" s="4">
        <v>46304</v>
      </c>
      <c r="F109" s="3">
        <v>21447492</v>
      </c>
      <c r="G109" s="3">
        <v>20805538</v>
      </c>
      <c r="H109" s="3" t="s">
        <v>17</v>
      </c>
      <c r="I109" s="3" t="s">
        <v>211</v>
      </c>
      <c r="J109" s="3" t="s">
        <v>19</v>
      </c>
      <c r="K109" s="3" t="s">
        <v>212</v>
      </c>
      <c r="L109" s="5">
        <v>1</v>
      </c>
      <c r="M109" s="3" t="s">
        <v>213</v>
      </c>
      <c r="N109" s="3" t="s">
        <v>214</v>
      </c>
      <c r="O109" s="5">
        <v>0</v>
      </c>
      <c r="P109" s="4">
        <v>45478</v>
      </c>
      <c r="Q109" s="3" t="s">
        <v>667</v>
      </c>
      <c r="R109" s="9"/>
      <c r="S109" s="9">
        <f ca="1">IF(OR(Q109="SIN PROCESAR",Q109="SIN ENVIAR",Q109="ENVIADO SIN ENTREGAR"),(IF((NETWORKDAYS(E109,TODAY()-1,$U$2:$AA$2))&lt;0,0,(NETWORKDAYS(E109,TODAY()-1,$U$2:$AA$2)))),0)</f>
        <v>1</v>
      </c>
      <c r="T109" s="3"/>
    </row>
    <row r="110" spans="1:20" x14ac:dyDescent="0.25">
      <c r="A110" s="3" t="s">
        <v>621</v>
      </c>
      <c r="B110" s="3" t="s">
        <v>255</v>
      </c>
      <c r="C110" s="3" t="s">
        <v>256</v>
      </c>
      <c r="D110" s="3" t="s">
        <v>35</v>
      </c>
      <c r="E110" s="4">
        <v>46304</v>
      </c>
      <c r="F110" s="3">
        <v>21402606</v>
      </c>
      <c r="G110" s="3">
        <v>20805922</v>
      </c>
      <c r="H110" s="3" t="s">
        <v>36</v>
      </c>
      <c r="I110" s="3" t="s">
        <v>37</v>
      </c>
      <c r="J110" s="3" t="s">
        <v>19</v>
      </c>
      <c r="K110" s="3" t="s">
        <v>257</v>
      </c>
      <c r="L110" s="5">
        <v>1</v>
      </c>
      <c r="M110" s="3" t="s">
        <v>258</v>
      </c>
      <c r="N110" s="3" t="s">
        <v>259</v>
      </c>
      <c r="O110" s="5">
        <v>0</v>
      </c>
      <c r="P110" s="4">
        <v>46304</v>
      </c>
      <c r="Q110" s="3" t="s">
        <v>667</v>
      </c>
      <c r="R110" s="9"/>
      <c r="S110" s="9">
        <f ca="1">IF(OR(Q110="SIN PROCESAR",Q110="SIN ENVIAR",Q110="ENVIADO SIN ENTREGAR"),(IF((NETWORKDAYS(E110,TODAY()-1,$U$2:$AA$2))&lt;0,0,(NETWORKDAYS(E110,TODAY()-1,$U$2:$AA$2)))),0)</f>
        <v>1</v>
      </c>
      <c r="T110" s="3"/>
    </row>
    <row r="111" spans="1:20" x14ac:dyDescent="0.25">
      <c r="A111" s="3" t="s">
        <v>621</v>
      </c>
      <c r="B111" s="3" t="s">
        <v>255</v>
      </c>
      <c r="C111" s="3" t="s">
        <v>256</v>
      </c>
      <c r="D111" s="3" t="s">
        <v>35</v>
      </c>
      <c r="E111" s="4">
        <v>46304</v>
      </c>
      <c r="F111" s="3">
        <v>21402606</v>
      </c>
      <c r="G111" s="3">
        <v>20805922</v>
      </c>
      <c r="H111" s="3" t="s">
        <v>36</v>
      </c>
      <c r="I111" s="3" t="s">
        <v>37</v>
      </c>
      <c r="J111" s="3" t="s">
        <v>19</v>
      </c>
      <c r="K111" s="3" t="s">
        <v>257</v>
      </c>
      <c r="L111" s="5">
        <v>1</v>
      </c>
      <c r="M111" s="3" t="s">
        <v>260</v>
      </c>
      <c r="N111" s="3" t="s">
        <v>261</v>
      </c>
      <c r="O111" s="5">
        <v>0</v>
      </c>
      <c r="P111" s="4">
        <v>46304</v>
      </c>
      <c r="Q111" s="3" t="s">
        <v>667</v>
      </c>
      <c r="R111" s="9"/>
      <c r="S111" s="9">
        <f ca="1">IF(OR(Q111="SIN PROCESAR",Q111="SIN ENVIAR",Q111="ENVIADO SIN ENTREGAR"),(IF((NETWORKDAYS(E111,TODAY()-1,$U$2:$AA$2))&lt;0,0,(NETWORKDAYS(E111,TODAY()-1,$U$2:$AA$2)))),0)</f>
        <v>1</v>
      </c>
      <c r="T111" s="3"/>
    </row>
    <row r="112" spans="1:20" x14ac:dyDescent="0.25">
      <c r="A112" s="3" t="s">
        <v>622</v>
      </c>
      <c r="B112" s="3" t="s">
        <v>160</v>
      </c>
      <c r="C112" s="3" t="s">
        <v>273</v>
      </c>
      <c r="D112" s="3" t="s">
        <v>144</v>
      </c>
      <c r="E112" s="4">
        <v>46304</v>
      </c>
      <c r="F112" s="3">
        <v>21459090</v>
      </c>
      <c r="G112" s="3">
        <v>20805343</v>
      </c>
      <c r="H112" s="3" t="s">
        <v>36</v>
      </c>
      <c r="I112" s="3" t="s">
        <v>37</v>
      </c>
      <c r="J112" s="3" t="s">
        <v>19</v>
      </c>
      <c r="K112" s="3" t="s">
        <v>274</v>
      </c>
      <c r="L112" s="5">
        <v>1</v>
      </c>
      <c r="M112" s="3" t="s">
        <v>275</v>
      </c>
      <c r="N112" s="3" t="s">
        <v>276</v>
      </c>
      <c r="O112" s="5">
        <v>0</v>
      </c>
      <c r="P112" s="4">
        <v>45247</v>
      </c>
      <c r="Q112" s="3" t="s">
        <v>667</v>
      </c>
      <c r="R112" s="9"/>
      <c r="S112" s="9">
        <f ca="1">IF(OR(Q112="SIN PROCESAR",Q112="SIN ENVIAR",Q112="ENVIADO SIN ENTREGAR"),(IF((NETWORKDAYS(E112,TODAY()-1,$U$2:$AA$2))&lt;0,0,(NETWORKDAYS(E112,TODAY()-1,$U$2:$AA$2)))),0)</f>
        <v>1</v>
      </c>
      <c r="T112" s="3"/>
    </row>
    <row r="113" spans="1:20" x14ac:dyDescent="0.25">
      <c r="A113" s="3" t="s">
        <v>622</v>
      </c>
      <c r="B113" s="3" t="s">
        <v>160</v>
      </c>
      <c r="C113" s="3" t="s">
        <v>273</v>
      </c>
      <c r="D113" s="3" t="s">
        <v>144</v>
      </c>
      <c r="E113" s="4">
        <v>46304</v>
      </c>
      <c r="F113" s="3">
        <v>21459090</v>
      </c>
      <c r="G113" s="3">
        <v>20805343</v>
      </c>
      <c r="H113" s="3" t="s">
        <v>36</v>
      </c>
      <c r="I113" s="3" t="s">
        <v>37</v>
      </c>
      <c r="J113" s="3" t="s">
        <v>19</v>
      </c>
      <c r="K113" s="3" t="s">
        <v>274</v>
      </c>
      <c r="L113" s="5">
        <v>1</v>
      </c>
      <c r="M113" s="3" t="s">
        <v>277</v>
      </c>
      <c r="N113" s="3" t="s">
        <v>278</v>
      </c>
      <c r="O113" s="5">
        <v>0</v>
      </c>
      <c r="P113" s="4">
        <v>45247</v>
      </c>
      <c r="Q113" s="3" t="s">
        <v>667</v>
      </c>
      <c r="R113" s="9"/>
      <c r="S113" s="9">
        <f ca="1">IF(OR(Q113="SIN PROCESAR",Q113="SIN ENVIAR",Q113="ENVIADO SIN ENTREGAR"),(IF((NETWORKDAYS(E113,TODAY()-1,$U$2:$AA$2))&lt;0,0,(NETWORKDAYS(E113,TODAY()-1,$U$2:$AA$2)))),0)</f>
        <v>1</v>
      </c>
      <c r="T113" s="3"/>
    </row>
    <row r="114" spans="1:20" x14ac:dyDescent="0.25">
      <c r="A114" s="3" t="s">
        <v>627</v>
      </c>
      <c r="B114" s="3" t="s">
        <v>33</v>
      </c>
      <c r="C114" s="3" t="s">
        <v>300</v>
      </c>
      <c r="D114" s="3" t="s">
        <v>35</v>
      </c>
      <c r="E114" s="4">
        <v>46304</v>
      </c>
      <c r="F114" s="3">
        <v>21456472</v>
      </c>
      <c r="G114" s="3">
        <v>20805162</v>
      </c>
      <c r="H114" s="3" t="s">
        <v>17</v>
      </c>
      <c r="I114" s="3" t="s">
        <v>18</v>
      </c>
      <c r="J114" s="3" t="s">
        <v>19</v>
      </c>
      <c r="K114" s="3" t="s">
        <v>301</v>
      </c>
      <c r="L114" s="5">
        <v>1</v>
      </c>
      <c r="M114" s="3" t="s">
        <v>302</v>
      </c>
      <c r="N114" s="3" t="s">
        <v>303</v>
      </c>
      <c r="O114" s="5">
        <v>0</v>
      </c>
      <c r="P114" s="4">
        <v>45664</v>
      </c>
      <c r="Q114" s="3" t="s">
        <v>667</v>
      </c>
      <c r="R114" s="9"/>
      <c r="S114" s="9">
        <f ca="1">IF(OR(Q114="SIN PROCESAR",Q114="SIN ENVIAR",Q114="ENVIADO SIN ENTREGAR"),(IF((NETWORKDAYS(E114,TODAY()-1,$U$2:$AA$2))&lt;0,0,(NETWORKDAYS(E114,TODAY()-1,$U$2:$AA$2)))),0)</f>
        <v>1</v>
      </c>
      <c r="T114" s="3"/>
    </row>
    <row r="115" spans="1:20" x14ac:dyDescent="0.25">
      <c r="A115" s="3" t="s">
        <v>627</v>
      </c>
      <c r="B115" s="3" t="s">
        <v>33</v>
      </c>
      <c r="C115" s="3" t="s">
        <v>300</v>
      </c>
      <c r="D115" s="3" t="s">
        <v>35</v>
      </c>
      <c r="E115" s="4">
        <v>46304</v>
      </c>
      <c r="F115" s="3">
        <v>21456472</v>
      </c>
      <c r="G115" s="3">
        <v>20805162</v>
      </c>
      <c r="H115" s="3" t="s">
        <v>17</v>
      </c>
      <c r="I115" s="3" t="s">
        <v>18</v>
      </c>
      <c r="J115" s="3" t="s">
        <v>19</v>
      </c>
      <c r="K115" s="3" t="s">
        <v>301</v>
      </c>
      <c r="L115" s="5">
        <v>1</v>
      </c>
      <c r="M115" s="3" t="s">
        <v>304</v>
      </c>
      <c r="N115" s="3" t="s">
        <v>305</v>
      </c>
      <c r="O115" s="5">
        <v>0</v>
      </c>
      <c r="P115" s="4">
        <v>45664</v>
      </c>
      <c r="Q115" s="3" t="s">
        <v>667</v>
      </c>
      <c r="R115" s="9"/>
      <c r="S115" s="9">
        <f ca="1">IF(OR(Q115="SIN PROCESAR",Q115="SIN ENVIAR",Q115="ENVIADO SIN ENTREGAR"),(IF((NETWORKDAYS(E115,TODAY()-1,$U$2:$AA$2))&lt;0,0,(NETWORKDAYS(E115,TODAY()-1,$U$2:$AA$2)))),0)</f>
        <v>1</v>
      </c>
      <c r="T115" s="3"/>
    </row>
    <row r="116" spans="1:20" x14ac:dyDescent="0.25">
      <c r="A116" s="3" t="s">
        <v>627</v>
      </c>
      <c r="B116" s="3" t="s">
        <v>33</v>
      </c>
      <c r="C116" s="3" t="s">
        <v>300</v>
      </c>
      <c r="D116" s="3" t="s">
        <v>35</v>
      </c>
      <c r="E116" s="4">
        <v>46304</v>
      </c>
      <c r="F116" s="3">
        <v>21456472</v>
      </c>
      <c r="G116" s="3">
        <v>20805162</v>
      </c>
      <c r="H116" s="3" t="s">
        <v>17</v>
      </c>
      <c r="I116" s="3" t="s">
        <v>18</v>
      </c>
      <c r="J116" s="3" t="s">
        <v>19</v>
      </c>
      <c r="K116" s="3" t="s">
        <v>301</v>
      </c>
      <c r="L116" s="5">
        <v>1</v>
      </c>
      <c r="M116" s="3" t="s">
        <v>306</v>
      </c>
      <c r="N116" s="3" t="s">
        <v>307</v>
      </c>
      <c r="O116" s="5">
        <v>0</v>
      </c>
      <c r="P116" s="4">
        <v>45664</v>
      </c>
      <c r="Q116" s="3" t="s">
        <v>667</v>
      </c>
      <c r="R116" s="9"/>
      <c r="S116" s="9">
        <f ca="1">IF(OR(Q116="SIN PROCESAR",Q116="SIN ENVIAR",Q116="ENVIADO SIN ENTREGAR"),(IF((NETWORKDAYS(E116,TODAY()-1,$U$2:$AA$2))&lt;0,0,(NETWORKDAYS(E116,TODAY()-1,$U$2:$AA$2)))),0)</f>
        <v>1</v>
      </c>
      <c r="T116" s="3"/>
    </row>
    <row r="117" spans="1:20" x14ac:dyDescent="0.25">
      <c r="A117" s="3" t="s">
        <v>628</v>
      </c>
      <c r="B117" s="3" t="s">
        <v>160</v>
      </c>
      <c r="C117" s="3" t="s">
        <v>308</v>
      </c>
      <c r="D117" s="3" t="s">
        <v>309</v>
      </c>
      <c r="E117" s="4">
        <v>46304</v>
      </c>
      <c r="F117" s="3">
        <v>21402252</v>
      </c>
      <c r="G117" s="3">
        <v>20806470</v>
      </c>
      <c r="H117" s="3" t="s">
        <v>17</v>
      </c>
      <c r="I117" s="3" t="s">
        <v>18</v>
      </c>
      <c r="J117" s="3" t="s">
        <v>19</v>
      </c>
      <c r="K117" s="3" t="s">
        <v>310</v>
      </c>
      <c r="L117" s="5">
        <v>1</v>
      </c>
      <c r="M117" s="3" t="s">
        <v>311</v>
      </c>
      <c r="N117" s="3" t="s">
        <v>312</v>
      </c>
      <c r="O117" s="5">
        <v>0</v>
      </c>
      <c r="P117" s="4">
        <v>45664</v>
      </c>
      <c r="Q117" s="3" t="s">
        <v>667</v>
      </c>
      <c r="R117" s="9"/>
      <c r="S117" s="9">
        <f ca="1">IF(OR(Q117="SIN PROCESAR",Q117="SIN ENVIAR",Q117="ENVIADO SIN ENTREGAR"),(IF((NETWORKDAYS(E117,TODAY()-1,$U$2:$AA$2))&lt;0,0,(NETWORKDAYS(E117,TODAY()-1,$U$2:$AA$2)))),0)</f>
        <v>1</v>
      </c>
      <c r="T117" s="3"/>
    </row>
    <row r="118" spans="1:20" x14ac:dyDescent="0.25">
      <c r="A118" s="3" t="s">
        <v>644</v>
      </c>
      <c r="B118" s="3" t="s">
        <v>58</v>
      </c>
      <c r="C118" s="3" t="s">
        <v>427</v>
      </c>
      <c r="D118" s="3" t="s">
        <v>157</v>
      </c>
      <c r="E118" s="4">
        <v>46304</v>
      </c>
      <c r="F118" s="3">
        <v>21439302</v>
      </c>
      <c r="G118" s="3">
        <v>20800119</v>
      </c>
      <c r="H118" s="3" t="s">
        <v>78</v>
      </c>
      <c r="I118" s="3" t="s">
        <v>49</v>
      </c>
      <c r="J118" s="3" t="s">
        <v>19</v>
      </c>
      <c r="K118" s="3" t="s">
        <v>428</v>
      </c>
      <c r="L118" s="5">
        <v>1</v>
      </c>
      <c r="M118" s="3" t="s">
        <v>409</v>
      </c>
      <c r="N118" s="3" t="s">
        <v>410</v>
      </c>
      <c r="O118" s="5">
        <v>0</v>
      </c>
      <c r="P118" s="4">
        <v>46301</v>
      </c>
      <c r="Q118" s="3" t="s">
        <v>667</v>
      </c>
      <c r="R118" s="9"/>
      <c r="S118" s="9">
        <f ca="1">IF(OR(Q118="SIN PROCESAR",Q118="SIN ENVIAR",Q118="ENVIADO SIN ENTREGAR"),(IF((NETWORKDAYS(E118,TODAY()-1,$U$2:$AA$2))&lt;0,0,(NETWORKDAYS(E118,TODAY()-1,$U$2:$AA$2)))),0)</f>
        <v>1</v>
      </c>
      <c r="T118" s="3" t="s">
        <v>675</v>
      </c>
    </row>
    <row r="119" spans="1:20" x14ac:dyDescent="0.25">
      <c r="A119" s="3" t="s">
        <v>644</v>
      </c>
      <c r="B119" s="3" t="s">
        <v>58</v>
      </c>
      <c r="C119" s="3" t="s">
        <v>427</v>
      </c>
      <c r="D119" s="3" t="s">
        <v>157</v>
      </c>
      <c r="E119" s="4">
        <v>46304</v>
      </c>
      <c r="F119" s="3">
        <v>21439302</v>
      </c>
      <c r="G119" s="3">
        <v>20800119</v>
      </c>
      <c r="H119" s="3" t="s">
        <v>78</v>
      </c>
      <c r="I119" s="3" t="s">
        <v>49</v>
      </c>
      <c r="J119" s="3" t="s">
        <v>19</v>
      </c>
      <c r="K119" s="3" t="s">
        <v>428</v>
      </c>
      <c r="L119" s="5">
        <v>1</v>
      </c>
      <c r="M119" s="3" t="s">
        <v>21</v>
      </c>
      <c r="N119" s="3" t="s">
        <v>22</v>
      </c>
      <c r="O119" s="5">
        <v>0</v>
      </c>
      <c r="P119" s="4">
        <v>46301</v>
      </c>
      <c r="Q119" s="3" t="s">
        <v>667</v>
      </c>
      <c r="R119" s="9"/>
      <c r="S119" s="9">
        <f ca="1">IF(OR(Q119="SIN PROCESAR",Q119="SIN ENVIAR",Q119="ENVIADO SIN ENTREGAR"),(IF((NETWORKDAYS(E119,TODAY()-1,$U$2:$AA$2))&lt;0,0,(NETWORKDAYS(E119,TODAY()-1,$U$2:$AA$2)))),0)</f>
        <v>1</v>
      </c>
      <c r="T119" s="3" t="s">
        <v>675</v>
      </c>
    </row>
    <row r="120" spans="1:20" x14ac:dyDescent="0.25">
      <c r="A120" s="3" t="s">
        <v>645</v>
      </c>
      <c r="B120" s="3" t="s">
        <v>142</v>
      </c>
      <c r="C120" s="3" t="s">
        <v>450</v>
      </c>
      <c r="D120" s="3" t="s">
        <v>144</v>
      </c>
      <c r="E120" s="4">
        <v>46304</v>
      </c>
      <c r="F120" s="3">
        <v>21451642</v>
      </c>
      <c r="G120" s="3">
        <v>20802629</v>
      </c>
      <c r="H120" s="3" t="s">
        <v>36</v>
      </c>
      <c r="I120" s="3" t="s">
        <v>18</v>
      </c>
      <c r="J120" s="3" t="s">
        <v>19</v>
      </c>
      <c r="K120" s="3" t="s">
        <v>451</v>
      </c>
      <c r="L120" s="5">
        <v>1</v>
      </c>
      <c r="M120" s="3" t="s">
        <v>397</v>
      </c>
      <c r="N120" s="3" t="s">
        <v>398</v>
      </c>
      <c r="O120" s="5">
        <v>0</v>
      </c>
      <c r="P120" s="4">
        <v>46304</v>
      </c>
      <c r="Q120" s="3" t="s">
        <v>667</v>
      </c>
      <c r="R120" s="9"/>
      <c r="S120" s="9">
        <f ca="1">IF(OR(Q120="SIN PROCESAR",Q120="SIN ENVIAR",Q120="ENVIADO SIN ENTREGAR"),(IF((NETWORKDAYS(E120,TODAY()-1,$U$2:$AA$2))&lt;0,0,(NETWORKDAYS(E120,TODAY()-1,$U$2:$AA$2)))),0)</f>
        <v>1</v>
      </c>
      <c r="T120" s="3"/>
    </row>
    <row r="121" spans="1:20" x14ac:dyDescent="0.25">
      <c r="A121" s="3" t="s">
        <v>645</v>
      </c>
      <c r="B121" s="3" t="s">
        <v>142</v>
      </c>
      <c r="C121" s="3" t="s">
        <v>450</v>
      </c>
      <c r="D121" s="3" t="s">
        <v>144</v>
      </c>
      <c r="E121" s="4">
        <v>46304</v>
      </c>
      <c r="F121" s="3">
        <v>21451642</v>
      </c>
      <c r="G121" s="3">
        <v>20802629</v>
      </c>
      <c r="H121" s="3" t="s">
        <v>36</v>
      </c>
      <c r="I121" s="3" t="s">
        <v>18</v>
      </c>
      <c r="J121" s="3" t="s">
        <v>19</v>
      </c>
      <c r="K121" s="3" t="s">
        <v>451</v>
      </c>
      <c r="L121" s="5">
        <v>1</v>
      </c>
      <c r="M121" s="3" t="s">
        <v>452</v>
      </c>
      <c r="N121" s="3" t="s">
        <v>453</v>
      </c>
      <c r="O121" s="5">
        <v>0</v>
      </c>
      <c r="P121" s="4">
        <v>46304</v>
      </c>
      <c r="Q121" s="3" t="s">
        <v>667</v>
      </c>
      <c r="R121" s="9"/>
      <c r="S121" s="9">
        <f ca="1">IF(OR(Q121="SIN PROCESAR",Q121="SIN ENVIAR",Q121="ENVIADO SIN ENTREGAR"),(IF((NETWORKDAYS(E121,TODAY()-1,$U$2:$AA$2))&lt;0,0,(NETWORKDAYS(E121,TODAY()-1,$U$2:$AA$2)))),0)</f>
        <v>1</v>
      </c>
      <c r="T121" s="3"/>
    </row>
    <row r="122" spans="1:20" x14ac:dyDescent="0.25">
      <c r="A122" s="3" t="s">
        <v>645</v>
      </c>
      <c r="B122" s="3" t="s">
        <v>142</v>
      </c>
      <c r="C122" s="3" t="s">
        <v>450</v>
      </c>
      <c r="D122" s="3" t="s">
        <v>144</v>
      </c>
      <c r="E122" s="4">
        <v>46304</v>
      </c>
      <c r="F122" s="3">
        <v>21451642</v>
      </c>
      <c r="G122" s="3">
        <v>20802629</v>
      </c>
      <c r="H122" s="3" t="s">
        <v>36</v>
      </c>
      <c r="I122" s="3" t="s">
        <v>18</v>
      </c>
      <c r="J122" s="3" t="s">
        <v>19</v>
      </c>
      <c r="K122" s="3" t="s">
        <v>451</v>
      </c>
      <c r="L122" s="5">
        <v>1</v>
      </c>
      <c r="M122" s="3" t="s">
        <v>203</v>
      </c>
      <c r="N122" s="3" t="s">
        <v>204</v>
      </c>
      <c r="O122" s="5">
        <v>0</v>
      </c>
      <c r="P122" s="4">
        <v>46304</v>
      </c>
      <c r="Q122" s="3" t="s">
        <v>667</v>
      </c>
      <c r="R122" s="9"/>
      <c r="S122" s="9">
        <f ca="1">IF(OR(Q122="SIN PROCESAR",Q122="SIN ENVIAR",Q122="ENVIADO SIN ENTREGAR"),(IF((NETWORKDAYS(E122,TODAY()-1,$U$2:$AA$2))&lt;0,0,(NETWORKDAYS(E122,TODAY()-1,$U$2:$AA$2)))),0)</f>
        <v>1</v>
      </c>
      <c r="T122" s="3"/>
    </row>
    <row r="123" spans="1:20" x14ac:dyDescent="0.25">
      <c r="A123" s="3" t="s">
        <v>652</v>
      </c>
      <c r="B123" s="3" t="s">
        <v>58</v>
      </c>
      <c r="C123" s="3" t="s">
        <v>520</v>
      </c>
      <c r="D123" s="3" t="s">
        <v>157</v>
      </c>
      <c r="E123" s="4">
        <v>46304</v>
      </c>
      <c r="F123" s="3">
        <v>21451070</v>
      </c>
      <c r="G123" s="3">
        <v>20803029</v>
      </c>
      <c r="H123" s="3" t="s">
        <v>36</v>
      </c>
      <c r="I123" s="3" t="s">
        <v>42</v>
      </c>
      <c r="J123" s="3" t="s">
        <v>19</v>
      </c>
      <c r="K123" s="3" t="s">
        <v>521</v>
      </c>
      <c r="L123" s="5">
        <v>1</v>
      </c>
      <c r="M123" s="3" t="s">
        <v>522</v>
      </c>
      <c r="N123" s="3" t="s">
        <v>523</v>
      </c>
      <c r="O123" s="5">
        <v>1</v>
      </c>
      <c r="P123" s="4">
        <v>46304</v>
      </c>
      <c r="Q123" s="3" t="s">
        <v>671</v>
      </c>
      <c r="R123" s="9"/>
      <c r="S123" s="9">
        <f ca="1">IF(OR(Q123="SIN PROCESAR",Q123="SIN ENVIAR",Q123="ENVIADO SIN ENTREGAR"),(IF((NETWORKDAYS(E123,TODAY()-1,$U$2:$AA$2))&lt;0,0,(NETWORKDAYS(E123,TODAY()-1,$U$2:$AA$2)))),0)</f>
        <v>1</v>
      </c>
      <c r="T123" s="3"/>
    </row>
    <row r="124" spans="1:20" x14ac:dyDescent="0.25">
      <c r="A124" s="3" t="s">
        <v>610</v>
      </c>
      <c r="B124" s="3" t="s">
        <v>14</v>
      </c>
      <c r="C124" s="3" t="s">
        <v>15</v>
      </c>
      <c r="D124" s="3" t="s">
        <v>16</v>
      </c>
      <c r="E124" s="4">
        <v>46305</v>
      </c>
      <c r="F124" s="3">
        <v>21447642</v>
      </c>
      <c r="G124" s="3">
        <v>20807317</v>
      </c>
      <c r="H124" s="3" t="s">
        <v>17</v>
      </c>
      <c r="I124" s="3" t="s">
        <v>18</v>
      </c>
      <c r="J124" s="3" t="s">
        <v>19</v>
      </c>
      <c r="K124" s="3" t="s">
        <v>20</v>
      </c>
      <c r="L124" s="5">
        <v>1</v>
      </c>
      <c r="M124" s="3" t="s">
        <v>21</v>
      </c>
      <c r="N124" s="3" t="s">
        <v>22</v>
      </c>
      <c r="O124" s="5">
        <v>0</v>
      </c>
      <c r="P124" s="4">
        <v>46306</v>
      </c>
      <c r="Q124" s="3" t="s">
        <v>667</v>
      </c>
      <c r="R124" s="9"/>
      <c r="S124" s="9">
        <f ca="1">IF(OR(Q124="SIN PROCESAR",Q124="SIN ENVIAR",Q124="ENVIADO SIN ENTREGAR"),(IF((NETWORKDAYS(E124,TODAY()-1,$U$2:$AA$2))&lt;0,0,(NETWORKDAYS(E124,TODAY()-1,$U$2:$AA$2)))),0)</f>
        <v>0</v>
      </c>
      <c r="T124" s="3"/>
    </row>
    <row r="125" spans="1:20" x14ac:dyDescent="0.25">
      <c r="A125" s="3" t="s">
        <v>610</v>
      </c>
      <c r="B125" s="3" t="s">
        <v>33</v>
      </c>
      <c r="C125" s="3" t="s">
        <v>34</v>
      </c>
      <c r="D125" s="3" t="s">
        <v>35</v>
      </c>
      <c r="E125" s="4">
        <v>46298</v>
      </c>
      <c r="F125" s="3">
        <v>21401806</v>
      </c>
      <c r="G125" s="3">
        <v>20762994</v>
      </c>
      <c r="H125" s="3" t="s">
        <v>36</v>
      </c>
      <c r="I125" s="3" t="s">
        <v>37</v>
      </c>
      <c r="J125" s="3" t="s">
        <v>19</v>
      </c>
      <c r="K125" s="3" t="s">
        <v>38</v>
      </c>
      <c r="L125" s="5">
        <v>1</v>
      </c>
      <c r="M125" s="3" t="s">
        <v>39</v>
      </c>
      <c r="N125" s="3" t="s">
        <v>40</v>
      </c>
      <c r="O125" s="5">
        <v>1</v>
      </c>
      <c r="P125" s="4">
        <v>46300</v>
      </c>
      <c r="Q125" s="3" t="s">
        <v>668</v>
      </c>
      <c r="R125" s="9">
        <v>957399</v>
      </c>
      <c r="S125" s="9">
        <f ca="1">IF(OR(Q125="SIN PROCESAR",Q125="SIN ENVIAR",Q125="ENVIADO SIN ENTREGAR"),(IF((NETWORKDAYS(E125,TODAY()-1,$U$2:$AA$2))&lt;0,0,(NETWORKDAYS(E125,TODAY()-1,$U$2:$AA$2)))),0)</f>
        <v>0</v>
      </c>
      <c r="T125" s="3" t="s">
        <v>676</v>
      </c>
    </row>
    <row r="126" spans="1:20" x14ac:dyDescent="0.25">
      <c r="A126" s="3" t="s">
        <v>610</v>
      </c>
      <c r="B126" s="3" t="s">
        <v>33</v>
      </c>
      <c r="C126" s="3" t="s">
        <v>41</v>
      </c>
      <c r="D126" s="3" t="s">
        <v>35</v>
      </c>
      <c r="E126" s="4">
        <v>46297</v>
      </c>
      <c r="F126" s="3">
        <v>21401772</v>
      </c>
      <c r="G126" s="3">
        <v>20763465</v>
      </c>
      <c r="H126" s="3" t="s">
        <v>36</v>
      </c>
      <c r="I126" s="3" t="s">
        <v>42</v>
      </c>
      <c r="J126" s="3" t="s">
        <v>19</v>
      </c>
      <c r="K126" s="3" t="s">
        <v>43</v>
      </c>
      <c r="L126" s="5">
        <v>2</v>
      </c>
      <c r="M126" s="3" t="s">
        <v>44</v>
      </c>
      <c r="N126" s="3" t="s">
        <v>45</v>
      </c>
      <c r="O126" s="5">
        <v>2</v>
      </c>
      <c r="P126" s="4">
        <v>46300</v>
      </c>
      <c r="Q126" s="3" t="s">
        <v>668</v>
      </c>
      <c r="R126" s="9">
        <v>957401</v>
      </c>
      <c r="S126" s="9">
        <f ca="1">IF(OR(Q126="SIN PROCESAR",Q126="SIN ENVIAR",Q126="ENVIADO SIN ENTREGAR"),(IF((NETWORKDAYS(E126,TODAY()-1,$U$2:$AA$2))&lt;0,0,(NETWORKDAYS(E126,TODAY()-1,$U$2:$AA$2)))),0)</f>
        <v>0</v>
      </c>
      <c r="T126" s="3" t="s">
        <v>676</v>
      </c>
    </row>
    <row r="127" spans="1:20" x14ac:dyDescent="0.25">
      <c r="A127" s="3" t="s">
        <v>612</v>
      </c>
      <c r="B127" s="3" t="s">
        <v>58</v>
      </c>
      <c r="C127" s="3" t="s">
        <v>59</v>
      </c>
      <c r="D127" s="3" t="s">
        <v>60</v>
      </c>
      <c r="E127" s="4">
        <v>46302</v>
      </c>
      <c r="F127" s="3">
        <v>21436346</v>
      </c>
      <c r="G127" s="3">
        <v>20791184</v>
      </c>
      <c r="H127" s="3" t="s">
        <v>36</v>
      </c>
      <c r="I127" s="3" t="s">
        <v>37</v>
      </c>
      <c r="J127" s="3" t="s">
        <v>50</v>
      </c>
      <c r="K127" s="3" t="s">
        <v>61</v>
      </c>
      <c r="L127" s="5">
        <v>1</v>
      </c>
      <c r="M127" s="3" t="s">
        <v>62</v>
      </c>
      <c r="N127" s="3" t="s">
        <v>63</v>
      </c>
      <c r="O127" s="5">
        <v>1</v>
      </c>
      <c r="P127" s="4">
        <v>46302</v>
      </c>
      <c r="Q127" s="3" t="s">
        <v>669</v>
      </c>
      <c r="R127" s="9">
        <v>957966</v>
      </c>
      <c r="S127" s="9">
        <f ca="1">IF(OR(Q127="SIN PROCESAR",Q127="SIN ENVIAR",Q127="ENVIADO SIN ENTREGAR"),(IF((NETWORKDAYS(E127,TODAY()-1,$U$2:$AA$2))&lt;0,0,(NETWORKDAYS(E127,TODAY()-1,$U$2:$AA$2)))),0)</f>
        <v>0</v>
      </c>
      <c r="T127" s="3" t="s">
        <v>678</v>
      </c>
    </row>
    <row r="128" spans="1:20" x14ac:dyDescent="0.25">
      <c r="A128" s="3" t="s">
        <v>612</v>
      </c>
      <c r="B128" s="3" t="s">
        <v>58</v>
      </c>
      <c r="C128" s="3" t="s">
        <v>59</v>
      </c>
      <c r="D128" s="3" t="s">
        <v>60</v>
      </c>
      <c r="E128" s="4">
        <v>46302</v>
      </c>
      <c r="F128" s="3">
        <v>21436346</v>
      </c>
      <c r="G128" s="3">
        <v>20791184</v>
      </c>
      <c r="H128" s="3" t="s">
        <v>36</v>
      </c>
      <c r="I128" s="3" t="s">
        <v>37</v>
      </c>
      <c r="J128" s="3" t="s">
        <v>50</v>
      </c>
      <c r="K128" s="3" t="s">
        <v>61</v>
      </c>
      <c r="L128" s="5">
        <v>1</v>
      </c>
      <c r="M128" s="3" t="s">
        <v>64</v>
      </c>
      <c r="N128" s="3" t="s">
        <v>65</v>
      </c>
      <c r="O128" s="5">
        <v>1</v>
      </c>
      <c r="P128" s="4">
        <v>46302</v>
      </c>
      <c r="Q128" s="3" t="s">
        <v>669</v>
      </c>
      <c r="R128" s="9">
        <v>957966</v>
      </c>
      <c r="S128" s="9">
        <f ca="1">IF(OR(Q128="SIN PROCESAR",Q128="SIN ENVIAR",Q128="ENVIADO SIN ENTREGAR"),(IF((NETWORKDAYS(E128,TODAY()-1,$U$2:$AA$2))&lt;0,0,(NETWORKDAYS(E128,TODAY()-1,$U$2:$AA$2)))),0)</f>
        <v>0</v>
      </c>
      <c r="T128" s="3" t="s">
        <v>678</v>
      </c>
    </row>
    <row r="129" spans="1:20" x14ac:dyDescent="0.25">
      <c r="A129" s="3" t="s">
        <v>612</v>
      </c>
      <c r="B129" s="3" t="s">
        <v>58</v>
      </c>
      <c r="C129" s="3" t="s">
        <v>59</v>
      </c>
      <c r="D129" s="3" t="s">
        <v>60</v>
      </c>
      <c r="E129" s="4">
        <v>46302</v>
      </c>
      <c r="F129" s="3">
        <v>21436346</v>
      </c>
      <c r="G129" s="3">
        <v>20791184</v>
      </c>
      <c r="H129" s="3" t="s">
        <v>36</v>
      </c>
      <c r="I129" s="3" t="s">
        <v>37</v>
      </c>
      <c r="J129" s="3" t="s">
        <v>50</v>
      </c>
      <c r="K129" s="3" t="s">
        <v>61</v>
      </c>
      <c r="L129" s="5">
        <v>1</v>
      </c>
      <c r="M129" s="3" t="s">
        <v>66</v>
      </c>
      <c r="N129" s="3" t="s">
        <v>67</v>
      </c>
      <c r="O129" s="5">
        <v>1</v>
      </c>
      <c r="P129" s="4">
        <v>46302</v>
      </c>
      <c r="Q129" s="3" t="s">
        <v>669</v>
      </c>
      <c r="R129" s="9">
        <v>957966</v>
      </c>
      <c r="S129" s="9">
        <f ca="1">IF(OR(Q129="SIN PROCESAR",Q129="SIN ENVIAR",Q129="ENVIADO SIN ENTREGAR"),(IF((NETWORKDAYS(E129,TODAY()-1,$U$2:$AA$2))&lt;0,0,(NETWORKDAYS(E129,TODAY()-1,$U$2:$AA$2)))),0)</f>
        <v>0</v>
      </c>
      <c r="T129" s="3" t="s">
        <v>678</v>
      </c>
    </row>
    <row r="130" spans="1:20" x14ac:dyDescent="0.25">
      <c r="A130" s="3" t="s">
        <v>612</v>
      </c>
      <c r="B130" s="3" t="s">
        <v>58</v>
      </c>
      <c r="C130" s="3" t="s">
        <v>59</v>
      </c>
      <c r="D130" s="3" t="s">
        <v>60</v>
      </c>
      <c r="E130" s="4">
        <v>46302</v>
      </c>
      <c r="F130" s="3">
        <v>21436346</v>
      </c>
      <c r="G130" s="3">
        <v>20791184</v>
      </c>
      <c r="H130" s="3" t="s">
        <v>36</v>
      </c>
      <c r="I130" s="3" t="s">
        <v>37</v>
      </c>
      <c r="J130" s="3" t="s">
        <v>50</v>
      </c>
      <c r="K130" s="3" t="s">
        <v>61</v>
      </c>
      <c r="L130" s="5">
        <v>1</v>
      </c>
      <c r="M130" s="3" t="s">
        <v>68</v>
      </c>
      <c r="N130" s="3" t="s">
        <v>69</v>
      </c>
      <c r="O130" s="5">
        <v>1</v>
      </c>
      <c r="P130" s="4">
        <v>46302</v>
      </c>
      <c r="Q130" s="3" t="s">
        <v>669</v>
      </c>
      <c r="R130" s="9">
        <v>957966</v>
      </c>
      <c r="S130" s="9">
        <f ca="1">IF(OR(Q130="SIN PROCESAR",Q130="SIN ENVIAR",Q130="ENVIADO SIN ENTREGAR"),(IF((NETWORKDAYS(E130,TODAY()-1,$U$2:$AA$2))&lt;0,0,(NETWORKDAYS(E130,TODAY()-1,$U$2:$AA$2)))),0)</f>
        <v>0</v>
      </c>
      <c r="T130" s="3" t="s">
        <v>678</v>
      </c>
    </row>
    <row r="131" spans="1:20" x14ac:dyDescent="0.25">
      <c r="A131" s="3" t="s">
        <v>612</v>
      </c>
      <c r="B131" s="3" t="s">
        <v>58</v>
      </c>
      <c r="C131" s="3" t="s">
        <v>59</v>
      </c>
      <c r="D131" s="3" t="s">
        <v>60</v>
      </c>
      <c r="E131" s="4">
        <v>46302</v>
      </c>
      <c r="F131" s="3">
        <v>21436346</v>
      </c>
      <c r="G131" s="3">
        <v>20791184</v>
      </c>
      <c r="H131" s="3" t="s">
        <v>36</v>
      </c>
      <c r="I131" s="3" t="s">
        <v>37</v>
      </c>
      <c r="J131" s="3" t="s">
        <v>50</v>
      </c>
      <c r="K131" s="3" t="s">
        <v>61</v>
      </c>
      <c r="L131" s="5">
        <v>1</v>
      </c>
      <c r="M131" s="3" t="s">
        <v>70</v>
      </c>
      <c r="N131" s="3" t="s">
        <v>71</v>
      </c>
      <c r="O131" s="5">
        <v>1</v>
      </c>
      <c r="P131" s="4">
        <v>46302</v>
      </c>
      <c r="Q131" s="3" t="s">
        <v>669</v>
      </c>
      <c r="R131" s="9">
        <v>957966</v>
      </c>
      <c r="S131" s="9">
        <f ca="1">IF(OR(Q131="SIN PROCESAR",Q131="SIN ENVIAR",Q131="ENVIADO SIN ENTREGAR"),(IF((NETWORKDAYS(E131,TODAY()-1,$U$2:$AA$2))&lt;0,0,(NETWORKDAYS(E131,TODAY()-1,$U$2:$AA$2)))),0)</f>
        <v>0</v>
      </c>
      <c r="T131" s="3" t="s">
        <v>678</v>
      </c>
    </row>
    <row r="132" spans="1:20" x14ac:dyDescent="0.25">
      <c r="A132" s="3" t="s">
        <v>613</v>
      </c>
      <c r="B132" s="3" t="s">
        <v>75</v>
      </c>
      <c r="C132" s="3" t="s">
        <v>90</v>
      </c>
      <c r="D132" s="3" t="s">
        <v>91</v>
      </c>
      <c r="E132" s="4">
        <v>46296</v>
      </c>
      <c r="F132" s="3">
        <v>21389100</v>
      </c>
      <c r="G132" s="3">
        <v>20750618</v>
      </c>
      <c r="H132" s="3" t="s">
        <v>17</v>
      </c>
      <c r="I132" s="3" t="s">
        <v>18</v>
      </c>
      <c r="J132" s="3" t="s">
        <v>19</v>
      </c>
      <c r="K132" s="3" t="s">
        <v>92</v>
      </c>
      <c r="L132" s="5">
        <v>1</v>
      </c>
      <c r="M132" s="3" t="s">
        <v>93</v>
      </c>
      <c r="N132" s="3" t="s">
        <v>94</v>
      </c>
      <c r="O132" s="5">
        <v>1</v>
      </c>
      <c r="P132" s="4">
        <v>46300</v>
      </c>
      <c r="Q132" s="3" t="s">
        <v>668</v>
      </c>
      <c r="R132" s="9">
        <v>957412</v>
      </c>
      <c r="S132" s="9">
        <f ca="1">IF(OR(Q132="SIN PROCESAR",Q132="SIN ENVIAR",Q132="ENVIADO SIN ENTREGAR"),(IF((NETWORKDAYS(E132,TODAY()-1,$U$2:$AA$2))&lt;0,0,(NETWORKDAYS(E132,TODAY()-1,$U$2:$AA$2)))),0)</f>
        <v>0</v>
      </c>
      <c r="T132" s="3" t="s">
        <v>679</v>
      </c>
    </row>
    <row r="133" spans="1:20" x14ac:dyDescent="0.25">
      <c r="A133" s="3" t="s">
        <v>615</v>
      </c>
      <c r="B133" s="3" t="s">
        <v>135</v>
      </c>
      <c r="C133" s="3" t="s">
        <v>136</v>
      </c>
      <c r="D133" s="3" t="s">
        <v>137</v>
      </c>
      <c r="E133" s="4">
        <v>46280</v>
      </c>
      <c r="F133" s="3">
        <v>21182372</v>
      </c>
      <c r="G133" s="3">
        <v>20641377</v>
      </c>
      <c r="H133" s="3" t="s">
        <v>17</v>
      </c>
      <c r="I133" s="3" t="s">
        <v>138</v>
      </c>
      <c r="J133" s="3" t="s">
        <v>50</v>
      </c>
      <c r="K133" s="3" t="s">
        <v>139</v>
      </c>
      <c r="L133" s="5">
        <v>1</v>
      </c>
      <c r="M133" s="3" t="s">
        <v>140</v>
      </c>
      <c r="N133" s="3" t="s">
        <v>141</v>
      </c>
      <c r="O133" s="5">
        <v>1</v>
      </c>
      <c r="P133" s="4">
        <v>46280</v>
      </c>
      <c r="Q133" s="3" t="s">
        <v>668</v>
      </c>
      <c r="R133" s="9">
        <v>955308</v>
      </c>
      <c r="S133" s="9">
        <f ca="1">IF(OR(Q133="SIN PROCESAR",Q133="SIN ENVIAR",Q133="ENVIADO SIN ENTREGAR"),(IF((NETWORKDAYS(E133,TODAY()-1,$U$2:$AA$2))&lt;0,0,(NETWORKDAYS(E133,TODAY()-1,$U$2:$AA$2)))),0)</f>
        <v>0</v>
      </c>
      <c r="T133" s="3" t="s">
        <v>681</v>
      </c>
    </row>
    <row r="134" spans="1:20" x14ac:dyDescent="0.25">
      <c r="A134" s="3" t="s">
        <v>616</v>
      </c>
      <c r="B134" s="3" t="s">
        <v>58</v>
      </c>
      <c r="C134" s="3" t="s">
        <v>156</v>
      </c>
      <c r="D134" s="3" t="s">
        <v>157</v>
      </c>
      <c r="E134" s="4">
        <v>46300</v>
      </c>
      <c r="F134" s="3">
        <v>21420512</v>
      </c>
      <c r="G134" s="3">
        <v>20778081</v>
      </c>
      <c r="H134" s="3" t="s">
        <v>158</v>
      </c>
      <c r="I134" s="3" t="s">
        <v>18</v>
      </c>
      <c r="J134" s="3" t="s">
        <v>19</v>
      </c>
      <c r="K134" s="3" t="s">
        <v>159</v>
      </c>
      <c r="L134" s="5">
        <v>1</v>
      </c>
      <c r="M134" s="3" t="s">
        <v>21</v>
      </c>
      <c r="N134" s="3" t="s">
        <v>22</v>
      </c>
      <c r="O134" s="5">
        <v>1</v>
      </c>
      <c r="P134" s="4">
        <v>46302</v>
      </c>
      <c r="Q134" s="3" t="s">
        <v>668</v>
      </c>
      <c r="R134" s="9">
        <v>957830</v>
      </c>
      <c r="S134" s="9">
        <f ca="1">IF(OR(Q134="SIN PROCESAR",Q134="SIN ENVIAR",Q134="ENVIADO SIN ENTREGAR"),(IF((NETWORKDAYS(E134,TODAY()-1,$U$2:$AA$2))&lt;0,0,(NETWORKDAYS(E134,TODAY()-1,$U$2:$AA$2)))),0)</f>
        <v>0</v>
      </c>
      <c r="T134" s="3" t="s">
        <v>682</v>
      </c>
    </row>
    <row r="135" spans="1:20" x14ac:dyDescent="0.25">
      <c r="A135" s="3" t="s">
        <v>616</v>
      </c>
      <c r="B135" s="3" t="s">
        <v>160</v>
      </c>
      <c r="C135" s="3" t="s">
        <v>161</v>
      </c>
      <c r="D135" s="3" t="s">
        <v>162</v>
      </c>
      <c r="E135" s="4">
        <v>46301</v>
      </c>
      <c r="F135" s="3">
        <v>21427356</v>
      </c>
      <c r="G135" s="3">
        <v>20782111</v>
      </c>
      <c r="H135" s="3" t="s">
        <v>163</v>
      </c>
      <c r="I135" s="3" t="s">
        <v>18</v>
      </c>
      <c r="J135" s="3" t="s">
        <v>19</v>
      </c>
      <c r="K135" s="3" t="s">
        <v>164</v>
      </c>
      <c r="L135" s="5">
        <v>1</v>
      </c>
      <c r="M135" s="3" t="s">
        <v>165</v>
      </c>
      <c r="N135" s="3" t="s">
        <v>166</v>
      </c>
      <c r="O135" s="5">
        <v>1</v>
      </c>
      <c r="P135" s="4">
        <v>46302</v>
      </c>
      <c r="Q135" s="3" t="s">
        <v>670</v>
      </c>
      <c r="R135" s="9">
        <v>957832</v>
      </c>
      <c r="S135" s="9">
        <f ca="1">IF(OR(Q135="SIN PROCESAR",Q135="SIN ENVIAR",Q135="ENVIADO SIN ENTREGAR"),(IF((NETWORKDAYS(E135,TODAY()-1,$U$2:$AA$2))&lt;0,0,(NETWORKDAYS(E135,TODAY()-1,$U$2:$AA$2)))),0)</f>
        <v>0</v>
      </c>
      <c r="T135" s="3" t="s">
        <v>683</v>
      </c>
    </row>
    <row r="136" spans="1:20" x14ac:dyDescent="0.25">
      <c r="A136" s="3" t="s">
        <v>616</v>
      </c>
      <c r="B136" s="3" t="s">
        <v>160</v>
      </c>
      <c r="C136" s="3" t="s">
        <v>167</v>
      </c>
      <c r="D136" s="3" t="s">
        <v>162</v>
      </c>
      <c r="E136" s="4">
        <v>46301</v>
      </c>
      <c r="F136" s="3">
        <v>21426594</v>
      </c>
      <c r="G136" s="3">
        <v>20781666</v>
      </c>
      <c r="H136" s="3" t="s">
        <v>163</v>
      </c>
      <c r="I136" s="3" t="s">
        <v>18</v>
      </c>
      <c r="J136" s="3" t="s">
        <v>19</v>
      </c>
      <c r="K136" s="3" t="s">
        <v>168</v>
      </c>
      <c r="L136" s="5">
        <v>1</v>
      </c>
      <c r="M136" s="3" t="s">
        <v>165</v>
      </c>
      <c r="N136" s="3" t="s">
        <v>166</v>
      </c>
      <c r="O136" s="5">
        <v>1</v>
      </c>
      <c r="P136" s="4">
        <v>46302</v>
      </c>
      <c r="Q136" s="3" t="s">
        <v>668</v>
      </c>
      <c r="R136" s="9">
        <v>957831</v>
      </c>
      <c r="S136" s="9">
        <f ca="1">IF(OR(Q136="SIN PROCESAR",Q136="SIN ENVIAR",Q136="ENVIADO SIN ENTREGAR"),(IF((NETWORKDAYS(E136,TODAY()-1,$U$2:$AA$2))&lt;0,0,(NETWORKDAYS(E136,TODAY()-1,$U$2:$AA$2)))),0)</f>
        <v>0</v>
      </c>
      <c r="T136" s="3" t="s">
        <v>684</v>
      </c>
    </row>
    <row r="137" spans="1:20" x14ac:dyDescent="0.25">
      <c r="A137" s="3" t="s">
        <v>616</v>
      </c>
      <c r="B137" s="3" t="s">
        <v>160</v>
      </c>
      <c r="C137" s="3" t="s">
        <v>169</v>
      </c>
      <c r="D137" s="3" t="s">
        <v>162</v>
      </c>
      <c r="E137" s="4">
        <v>46300</v>
      </c>
      <c r="F137" s="3">
        <v>21420532</v>
      </c>
      <c r="G137" s="3">
        <v>20778095</v>
      </c>
      <c r="H137" s="3" t="s">
        <v>163</v>
      </c>
      <c r="I137" s="3" t="s">
        <v>18</v>
      </c>
      <c r="J137" s="3" t="s">
        <v>19</v>
      </c>
      <c r="K137" s="3" t="s">
        <v>170</v>
      </c>
      <c r="L137" s="5">
        <v>1</v>
      </c>
      <c r="M137" s="3" t="s">
        <v>165</v>
      </c>
      <c r="N137" s="3" t="s">
        <v>166</v>
      </c>
      <c r="O137" s="5">
        <v>1</v>
      </c>
      <c r="P137" s="4">
        <v>46301</v>
      </c>
      <c r="Q137" s="3" t="s">
        <v>668</v>
      </c>
      <c r="R137" s="9">
        <v>957633</v>
      </c>
      <c r="S137" s="9">
        <f ca="1">IF(OR(Q137="SIN PROCESAR",Q137="SIN ENVIAR",Q137="ENVIADO SIN ENTREGAR"),(IF((NETWORKDAYS(E137,TODAY()-1,$U$2:$AA$2))&lt;0,0,(NETWORKDAYS(E137,TODAY()-1,$U$2:$AA$2)))),0)</f>
        <v>0</v>
      </c>
      <c r="T137" s="3" t="s">
        <v>685</v>
      </c>
    </row>
    <row r="138" spans="1:20" x14ac:dyDescent="0.25">
      <c r="A138" s="3" t="s">
        <v>617</v>
      </c>
      <c r="B138" s="3" t="s">
        <v>183</v>
      </c>
      <c r="C138" s="3" t="s">
        <v>184</v>
      </c>
      <c r="D138" s="3" t="s">
        <v>185</v>
      </c>
      <c r="E138" s="4">
        <v>46305</v>
      </c>
      <c r="F138" s="3">
        <v>21459508</v>
      </c>
      <c r="G138" s="3">
        <v>20807292</v>
      </c>
      <c r="H138" s="3" t="s">
        <v>186</v>
      </c>
      <c r="I138" s="3" t="s">
        <v>187</v>
      </c>
      <c r="J138" s="3" t="s">
        <v>19</v>
      </c>
      <c r="K138" s="3" t="s">
        <v>188</v>
      </c>
      <c r="L138" s="5">
        <v>1</v>
      </c>
      <c r="M138" s="3" t="s">
        <v>189</v>
      </c>
      <c r="N138" s="3" t="s">
        <v>190</v>
      </c>
      <c r="O138" s="5">
        <v>0</v>
      </c>
      <c r="P138" s="4">
        <v>45595</v>
      </c>
      <c r="Q138" s="3" t="s">
        <v>667</v>
      </c>
      <c r="R138" s="9"/>
      <c r="S138" s="9">
        <f ca="1">IF(OR(Q138="SIN PROCESAR",Q138="SIN ENVIAR",Q138="ENVIADO SIN ENTREGAR"),(IF((NETWORKDAYS(E138,TODAY()-1,$U$2:$AA$2))&lt;0,0,(NETWORKDAYS(E138,TODAY()-1,$U$2:$AA$2)))),0)</f>
        <v>0</v>
      </c>
      <c r="T138" s="3"/>
    </row>
    <row r="139" spans="1:20" x14ac:dyDescent="0.25">
      <c r="A139" s="3" t="s">
        <v>617</v>
      </c>
      <c r="B139" s="3" t="s">
        <v>160</v>
      </c>
      <c r="C139" s="3" t="s">
        <v>196</v>
      </c>
      <c r="D139" s="3" t="s">
        <v>162</v>
      </c>
      <c r="E139" s="4">
        <v>46301</v>
      </c>
      <c r="F139" s="3">
        <v>21430510</v>
      </c>
      <c r="G139" s="3">
        <v>20784855</v>
      </c>
      <c r="H139" s="3" t="s">
        <v>158</v>
      </c>
      <c r="I139" s="3" t="s">
        <v>18</v>
      </c>
      <c r="J139" s="3" t="s">
        <v>19</v>
      </c>
      <c r="K139" s="3" t="s">
        <v>197</v>
      </c>
      <c r="L139" s="5">
        <v>1</v>
      </c>
      <c r="M139" s="3" t="s">
        <v>165</v>
      </c>
      <c r="N139" s="3" t="s">
        <v>166</v>
      </c>
      <c r="O139" s="5">
        <v>1</v>
      </c>
      <c r="P139" s="4">
        <v>46301</v>
      </c>
      <c r="Q139" s="3" t="s">
        <v>668</v>
      </c>
      <c r="R139" s="9">
        <v>957809</v>
      </c>
      <c r="S139" s="9">
        <f ca="1">IF(OR(Q139="SIN PROCESAR",Q139="SIN ENVIAR",Q139="ENVIADO SIN ENTREGAR"),(IF((NETWORKDAYS(E139,TODAY()-1,$U$2:$AA$2))&lt;0,0,(NETWORKDAYS(E139,TODAY()-1,$U$2:$AA$2)))),0)</f>
        <v>0</v>
      </c>
      <c r="T139" s="3" t="s">
        <v>686</v>
      </c>
    </row>
    <row r="140" spans="1:20" x14ac:dyDescent="0.25">
      <c r="A140" s="3" t="s">
        <v>617</v>
      </c>
      <c r="B140" s="3" t="s">
        <v>160</v>
      </c>
      <c r="C140" s="3" t="s">
        <v>198</v>
      </c>
      <c r="D140" s="3" t="s">
        <v>162</v>
      </c>
      <c r="E140" s="4">
        <v>46300</v>
      </c>
      <c r="F140" s="3">
        <v>21420482</v>
      </c>
      <c r="G140" s="3">
        <v>20778478</v>
      </c>
      <c r="H140" s="3" t="s">
        <v>17</v>
      </c>
      <c r="I140" s="3" t="s">
        <v>18</v>
      </c>
      <c r="J140" s="3" t="s">
        <v>19</v>
      </c>
      <c r="K140" s="3" t="s">
        <v>199</v>
      </c>
      <c r="L140" s="5">
        <v>1</v>
      </c>
      <c r="M140" s="3" t="s">
        <v>200</v>
      </c>
      <c r="N140" s="3" t="s">
        <v>201</v>
      </c>
      <c r="O140" s="5">
        <v>1</v>
      </c>
      <c r="P140" s="4">
        <v>46301</v>
      </c>
      <c r="Q140" s="3" t="s">
        <v>668</v>
      </c>
      <c r="R140" s="9">
        <v>957667</v>
      </c>
      <c r="S140" s="9">
        <f ca="1">IF(OR(Q140="SIN PROCESAR",Q140="SIN ENVIAR",Q140="ENVIADO SIN ENTREGAR"),(IF((NETWORKDAYS(E140,TODAY()-1,$U$2:$AA$2))&lt;0,0,(NETWORKDAYS(E140,TODAY()-1,$U$2:$AA$2)))),0)</f>
        <v>0</v>
      </c>
      <c r="T140" s="3" t="s">
        <v>687</v>
      </c>
    </row>
    <row r="141" spans="1:20" x14ac:dyDescent="0.25">
      <c r="A141" s="3" t="s">
        <v>620</v>
      </c>
      <c r="B141" s="3" t="s">
        <v>216</v>
      </c>
      <c r="C141" s="3" t="s">
        <v>217</v>
      </c>
      <c r="D141" s="3" t="s">
        <v>218</v>
      </c>
      <c r="E141" s="4">
        <v>46302</v>
      </c>
      <c r="F141" s="3">
        <v>21437862</v>
      </c>
      <c r="G141" s="3">
        <v>20790477</v>
      </c>
      <c r="H141" s="3" t="s">
        <v>36</v>
      </c>
      <c r="I141" s="3" t="s">
        <v>219</v>
      </c>
      <c r="J141" s="3" t="s">
        <v>50</v>
      </c>
      <c r="K141" s="3" t="s">
        <v>220</v>
      </c>
      <c r="L141" s="5">
        <v>1</v>
      </c>
      <c r="M141" s="3" t="s">
        <v>221</v>
      </c>
      <c r="N141" s="3" t="s">
        <v>222</v>
      </c>
      <c r="O141" s="5">
        <v>1</v>
      </c>
      <c r="P141" s="4">
        <v>46302</v>
      </c>
      <c r="Q141" s="3" t="s">
        <v>668</v>
      </c>
      <c r="R141" s="9">
        <v>957939</v>
      </c>
      <c r="S141" s="9">
        <f ca="1">IF(OR(Q141="SIN PROCESAR",Q141="SIN ENVIAR",Q141="ENVIADO SIN ENTREGAR"),(IF((NETWORKDAYS(E141,TODAY()-1,$U$2:$AA$2))&lt;0,0,(NETWORKDAYS(E141,TODAY()-1,$U$2:$AA$2)))),0)</f>
        <v>0</v>
      </c>
      <c r="T141" s="3" t="s">
        <v>689</v>
      </c>
    </row>
    <row r="142" spans="1:20" x14ac:dyDescent="0.25">
      <c r="A142" s="3" t="s">
        <v>620</v>
      </c>
      <c r="B142" s="3" t="s">
        <v>58</v>
      </c>
      <c r="C142" s="3" t="s">
        <v>223</v>
      </c>
      <c r="D142" s="3" t="s">
        <v>206</v>
      </c>
      <c r="E142" s="4">
        <v>46301</v>
      </c>
      <c r="F142" s="3">
        <v>21429434</v>
      </c>
      <c r="G142" s="3">
        <v>20785459</v>
      </c>
      <c r="H142" s="3" t="s">
        <v>17</v>
      </c>
      <c r="I142" s="3" t="s">
        <v>18</v>
      </c>
      <c r="J142" s="3" t="s">
        <v>19</v>
      </c>
      <c r="K142" s="3" t="s">
        <v>224</v>
      </c>
      <c r="L142" s="5">
        <v>1</v>
      </c>
      <c r="M142" s="3" t="s">
        <v>225</v>
      </c>
      <c r="N142" s="3" t="s">
        <v>67</v>
      </c>
      <c r="O142" s="5">
        <v>1</v>
      </c>
      <c r="P142" s="4">
        <v>46302</v>
      </c>
      <c r="Q142" s="3" t="s">
        <v>668</v>
      </c>
      <c r="R142" s="9">
        <v>957843</v>
      </c>
      <c r="S142" s="9">
        <f ca="1">IF(OR(Q142="SIN PROCESAR",Q142="SIN ENVIAR",Q142="ENVIADO SIN ENTREGAR"),(IF((NETWORKDAYS(E142,TODAY()-1,$U$2:$AA$2))&lt;0,0,(NETWORKDAYS(E142,TODAY()-1,$U$2:$AA$2)))),0)</f>
        <v>0</v>
      </c>
      <c r="T142" s="3" t="s">
        <v>689</v>
      </c>
    </row>
    <row r="143" spans="1:20" x14ac:dyDescent="0.25">
      <c r="A143" s="3" t="s">
        <v>620</v>
      </c>
      <c r="B143" s="3" t="s">
        <v>33</v>
      </c>
      <c r="C143" s="3" t="s">
        <v>226</v>
      </c>
      <c r="D143" s="3" t="s">
        <v>35</v>
      </c>
      <c r="E143" s="4">
        <v>46303</v>
      </c>
      <c r="F143" s="3">
        <v>21391588</v>
      </c>
      <c r="G143" s="3">
        <v>20797052</v>
      </c>
      <c r="H143" s="3" t="s">
        <v>17</v>
      </c>
      <c r="I143" s="3" t="s">
        <v>37</v>
      </c>
      <c r="J143" s="3" t="s">
        <v>19</v>
      </c>
      <c r="K143" s="3" t="s">
        <v>227</v>
      </c>
      <c r="L143" s="5">
        <v>1</v>
      </c>
      <c r="M143" s="3" t="s">
        <v>133</v>
      </c>
      <c r="N143" s="3" t="s">
        <v>134</v>
      </c>
      <c r="O143" s="5">
        <v>1</v>
      </c>
      <c r="P143" s="4">
        <v>46303</v>
      </c>
      <c r="Q143" s="3" t="s">
        <v>669</v>
      </c>
      <c r="R143" s="9">
        <v>958089</v>
      </c>
      <c r="S143" s="9">
        <f ca="1">IF(OR(Q143="SIN PROCESAR",Q143="SIN ENVIAR",Q143="ENVIADO SIN ENTREGAR"),(IF((NETWORKDAYS(E143,TODAY()-1,$U$2:$AA$2))&lt;0,0,(NETWORKDAYS(E143,TODAY()-1,$U$2:$AA$2)))),0)</f>
        <v>0</v>
      </c>
      <c r="T143" s="3" t="s">
        <v>690</v>
      </c>
    </row>
    <row r="144" spans="1:20" x14ac:dyDescent="0.25">
      <c r="A144" s="3" t="s">
        <v>621</v>
      </c>
      <c r="B144" s="3" t="s">
        <v>232</v>
      </c>
      <c r="C144" s="3" t="s">
        <v>233</v>
      </c>
      <c r="D144" s="3" t="s">
        <v>234</v>
      </c>
      <c r="E144" s="4">
        <v>46297</v>
      </c>
      <c r="F144" s="3">
        <v>21396734</v>
      </c>
      <c r="G144" s="3">
        <v>20757525</v>
      </c>
      <c r="H144" s="3" t="s">
        <v>36</v>
      </c>
      <c r="I144" s="3" t="s">
        <v>37</v>
      </c>
      <c r="J144" s="3" t="s">
        <v>19</v>
      </c>
      <c r="K144" s="3" t="s">
        <v>235</v>
      </c>
      <c r="L144" s="5">
        <v>1</v>
      </c>
      <c r="M144" s="3" t="s">
        <v>236</v>
      </c>
      <c r="N144" s="3" t="s">
        <v>237</v>
      </c>
      <c r="O144" s="5">
        <v>1</v>
      </c>
      <c r="P144" s="4">
        <v>46297</v>
      </c>
      <c r="Q144" s="3" t="s">
        <v>668</v>
      </c>
      <c r="R144" s="9" t="s">
        <v>672</v>
      </c>
      <c r="S144" s="9">
        <f ca="1">IF(OR(Q144="SIN PROCESAR",Q144="SIN ENVIAR",Q144="ENVIADO SIN ENTREGAR"),(IF((NETWORKDAYS(E144,TODAY()-1,$U$2:$AA$2))&lt;0,0,(NETWORKDAYS(E144,TODAY()-1,$U$2:$AA$2)))),0)</f>
        <v>0</v>
      </c>
      <c r="T144" s="3" t="s">
        <v>691</v>
      </c>
    </row>
    <row r="145" spans="1:20" x14ac:dyDescent="0.25">
      <c r="A145" s="3" t="s">
        <v>621</v>
      </c>
      <c r="B145" s="3" t="s">
        <v>232</v>
      </c>
      <c r="C145" s="3" t="s">
        <v>233</v>
      </c>
      <c r="D145" s="3" t="s">
        <v>234</v>
      </c>
      <c r="E145" s="4">
        <v>46297</v>
      </c>
      <c r="F145" s="3">
        <v>21396734</v>
      </c>
      <c r="G145" s="3">
        <v>20757525</v>
      </c>
      <c r="H145" s="3" t="s">
        <v>36</v>
      </c>
      <c r="I145" s="3" t="s">
        <v>37</v>
      </c>
      <c r="J145" s="3" t="s">
        <v>19</v>
      </c>
      <c r="K145" s="3" t="s">
        <v>235</v>
      </c>
      <c r="L145" s="5">
        <v>1</v>
      </c>
      <c r="M145" s="3" t="s">
        <v>238</v>
      </c>
      <c r="N145" s="3" t="s">
        <v>239</v>
      </c>
      <c r="O145" s="5">
        <v>1</v>
      </c>
      <c r="P145" s="4">
        <v>46297</v>
      </c>
      <c r="Q145" s="3" t="s">
        <v>668</v>
      </c>
      <c r="R145" s="9" t="s">
        <v>672</v>
      </c>
      <c r="S145" s="9">
        <f ca="1">IF(OR(Q145="SIN PROCESAR",Q145="SIN ENVIAR",Q145="ENVIADO SIN ENTREGAR"),(IF((NETWORKDAYS(E145,TODAY()-1,$U$2:$AA$2))&lt;0,0,(NETWORKDAYS(E145,TODAY()-1,$U$2:$AA$2)))),0)</f>
        <v>0</v>
      </c>
      <c r="T145" s="3" t="s">
        <v>691</v>
      </c>
    </row>
    <row r="146" spans="1:20" x14ac:dyDescent="0.25">
      <c r="A146" s="3" t="s">
        <v>621</v>
      </c>
      <c r="B146" s="3" t="s">
        <v>232</v>
      </c>
      <c r="C146" s="3" t="s">
        <v>233</v>
      </c>
      <c r="D146" s="3" t="s">
        <v>234</v>
      </c>
      <c r="E146" s="4">
        <v>46297</v>
      </c>
      <c r="F146" s="3">
        <v>21396734</v>
      </c>
      <c r="G146" s="3">
        <v>20757525</v>
      </c>
      <c r="H146" s="3" t="s">
        <v>36</v>
      </c>
      <c r="I146" s="3" t="s">
        <v>37</v>
      </c>
      <c r="J146" s="3" t="s">
        <v>19</v>
      </c>
      <c r="K146" s="3" t="s">
        <v>235</v>
      </c>
      <c r="L146" s="5">
        <v>1</v>
      </c>
      <c r="M146" s="3" t="s">
        <v>240</v>
      </c>
      <c r="N146" s="3" t="s">
        <v>241</v>
      </c>
      <c r="O146" s="5">
        <v>1</v>
      </c>
      <c r="P146" s="4">
        <v>46297</v>
      </c>
      <c r="Q146" s="3" t="s">
        <v>668</v>
      </c>
      <c r="R146" s="9" t="s">
        <v>672</v>
      </c>
      <c r="S146" s="9">
        <f ca="1">IF(OR(Q146="SIN PROCESAR",Q146="SIN ENVIAR",Q146="ENVIADO SIN ENTREGAR"),(IF((NETWORKDAYS(E146,TODAY()-1,$U$2:$AA$2))&lt;0,0,(NETWORKDAYS(E146,TODAY()-1,$U$2:$AA$2)))),0)</f>
        <v>0</v>
      </c>
      <c r="T146" s="3" t="s">
        <v>691</v>
      </c>
    </row>
    <row r="147" spans="1:20" x14ac:dyDescent="0.25">
      <c r="A147" s="3" t="s">
        <v>621</v>
      </c>
      <c r="B147" s="3" t="s">
        <v>232</v>
      </c>
      <c r="C147" s="3" t="s">
        <v>233</v>
      </c>
      <c r="D147" s="3" t="s">
        <v>234</v>
      </c>
      <c r="E147" s="4">
        <v>46297</v>
      </c>
      <c r="F147" s="3">
        <v>21396734</v>
      </c>
      <c r="G147" s="3">
        <v>20757525</v>
      </c>
      <c r="H147" s="3" t="s">
        <v>36</v>
      </c>
      <c r="I147" s="3" t="s">
        <v>37</v>
      </c>
      <c r="J147" s="3" t="s">
        <v>19</v>
      </c>
      <c r="K147" s="3" t="s">
        <v>235</v>
      </c>
      <c r="L147" s="5">
        <v>1</v>
      </c>
      <c r="M147" s="3" t="s">
        <v>242</v>
      </c>
      <c r="N147" s="3" t="s">
        <v>243</v>
      </c>
      <c r="O147" s="5">
        <v>1</v>
      </c>
      <c r="P147" s="4">
        <v>46300</v>
      </c>
      <c r="Q147" s="3" t="s">
        <v>668</v>
      </c>
      <c r="R147" s="9" t="s">
        <v>672</v>
      </c>
      <c r="S147" s="9">
        <f ca="1">IF(OR(Q147="SIN PROCESAR",Q147="SIN ENVIAR",Q147="ENVIADO SIN ENTREGAR"),(IF((NETWORKDAYS(E147,TODAY()-1,$U$2:$AA$2))&lt;0,0,(NETWORKDAYS(E147,TODAY()-1,$U$2:$AA$2)))),0)</f>
        <v>0</v>
      </c>
      <c r="T147" s="3" t="s">
        <v>691</v>
      </c>
    </row>
    <row r="148" spans="1:20" x14ac:dyDescent="0.25">
      <c r="A148" s="3" t="s">
        <v>621</v>
      </c>
      <c r="B148" s="3" t="s">
        <v>232</v>
      </c>
      <c r="C148" s="3" t="s">
        <v>233</v>
      </c>
      <c r="D148" s="3" t="s">
        <v>234</v>
      </c>
      <c r="E148" s="4">
        <v>46297</v>
      </c>
      <c r="F148" s="3">
        <v>21396734</v>
      </c>
      <c r="G148" s="3">
        <v>20757525</v>
      </c>
      <c r="H148" s="3" t="s">
        <v>36</v>
      </c>
      <c r="I148" s="3" t="s">
        <v>37</v>
      </c>
      <c r="J148" s="3" t="s">
        <v>19</v>
      </c>
      <c r="K148" s="3" t="s">
        <v>235</v>
      </c>
      <c r="L148" s="5">
        <v>1</v>
      </c>
      <c r="M148" s="3" t="s">
        <v>244</v>
      </c>
      <c r="N148" s="3" t="s">
        <v>245</v>
      </c>
      <c r="O148" s="5">
        <v>1</v>
      </c>
      <c r="P148" s="4">
        <v>46297</v>
      </c>
      <c r="Q148" s="3" t="s">
        <v>668</v>
      </c>
      <c r="R148" s="9" t="s">
        <v>672</v>
      </c>
      <c r="S148" s="9">
        <f ca="1">IF(OR(Q148="SIN PROCESAR",Q148="SIN ENVIAR",Q148="ENVIADO SIN ENTREGAR"),(IF((NETWORKDAYS(E148,TODAY()-1,$U$2:$AA$2))&lt;0,0,(NETWORKDAYS(E148,TODAY()-1,$U$2:$AA$2)))),0)</f>
        <v>0</v>
      </c>
      <c r="T148" s="3" t="s">
        <v>691</v>
      </c>
    </row>
    <row r="149" spans="1:20" x14ac:dyDescent="0.25">
      <c r="A149" s="3" t="s">
        <v>621</v>
      </c>
      <c r="B149" s="3" t="s">
        <v>14</v>
      </c>
      <c r="C149" s="3" t="s">
        <v>249</v>
      </c>
      <c r="D149" s="3" t="s">
        <v>250</v>
      </c>
      <c r="E149" s="4">
        <v>46303</v>
      </c>
      <c r="F149" s="3">
        <v>21420046</v>
      </c>
      <c r="G149" s="3">
        <v>20796034</v>
      </c>
      <c r="H149" s="3" t="s">
        <v>17</v>
      </c>
      <c r="I149" s="3" t="s">
        <v>18</v>
      </c>
      <c r="J149" s="3" t="s">
        <v>19</v>
      </c>
      <c r="K149" s="3" t="s">
        <v>251</v>
      </c>
      <c r="L149" s="5">
        <v>1</v>
      </c>
      <c r="M149" s="3" t="s">
        <v>21</v>
      </c>
      <c r="N149" s="3" t="s">
        <v>22</v>
      </c>
      <c r="O149" s="5">
        <v>1</v>
      </c>
      <c r="P149" s="4">
        <v>46303</v>
      </c>
      <c r="Q149" s="3" t="s">
        <v>668</v>
      </c>
      <c r="R149" s="9">
        <v>958083</v>
      </c>
      <c r="S149" s="9">
        <f ca="1">IF(OR(Q149="SIN PROCESAR",Q149="SIN ENVIAR",Q149="ENVIADO SIN ENTREGAR"),(IF((NETWORKDAYS(E149,TODAY()-1,$U$2:$AA$2))&lt;0,0,(NETWORKDAYS(E149,TODAY()-1,$U$2:$AA$2)))),0)</f>
        <v>0</v>
      </c>
      <c r="T149" s="3" t="s">
        <v>693</v>
      </c>
    </row>
    <row r="150" spans="1:20" x14ac:dyDescent="0.25">
      <c r="A150" s="3" t="s">
        <v>623</v>
      </c>
      <c r="B150" s="3" t="s">
        <v>216</v>
      </c>
      <c r="C150" s="3" t="s">
        <v>279</v>
      </c>
      <c r="D150" s="3" t="s">
        <v>280</v>
      </c>
      <c r="E150" s="4">
        <v>46301</v>
      </c>
      <c r="F150" s="3">
        <v>21420476</v>
      </c>
      <c r="G150" s="3">
        <v>20782157</v>
      </c>
      <c r="H150" s="3" t="s">
        <v>36</v>
      </c>
      <c r="I150" s="3" t="s">
        <v>18</v>
      </c>
      <c r="J150" s="3" t="s">
        <v>19</v>
      </c>
      <c r="K150" s="3" t="s">
        <v>281</v>
      </c>
      <c r="L150" s="5">
        <v>1</v>
      </c>
      <c r="M150" s="3" t="s">
        <v>282</v>
      </c>
      <c r="N150" s="3" t="s">
        <v>283</v>
      </c>
      <c r="O150" s="5">
        <v>1</v>
      </c>
      <c r="P150" s="4">
        <v>46301</v>
      </c>
      <c r="Q150" s="3" t="s">
        <v>668</v>
      </c>
      <c r="R150" s="9">
        <v>957745</v>
      </c>
      <c r="S150" s="9">
        <f ca="1">IF(OR(Q150="SIN PROCESAR",Q150="SIN ENVIAR",Q150="ENVIADO SIN ENTREGAR"),(IF((NETWORKDAYS(E150,TODAY()-1,$U$2:$AA$2))&lt;0,0,(NETWORKDAYS(E150,TODAY()-1,$U$2:$AA$2)))),0)</f>
        <v>0</v>
      </c>
      <c r="T150" s="3" t="s">
        <v>695</v>
      </c>
    </row>
    <row r="151" spans="1:20" x14ac:dyDescent="0.25">
      <c r="A151" s="3" t="s">
        <v>623</v>
      </c>
      <c r="B151" s="3" t="s">
        <v>14</v>
      </c>
      <c r="C151" s="3" t="s">
        <v>284</v>
      </c>
      <c r="D151" s="3" t="s">
        <v>285</v>
      </c>
      <c r="E151" s="4">
        <v>46302</v>
      </c>
      <c r="F151" s="3">
        <v>21420466</v>
      </c>
      <c r="G151" s="3">
        <v>20791087</v>
      </c>
      <c r="H151" s="3" t="s">
        <v>158</v>
      </c>
      <c r="I151" s="3" t="s">
        <v>18</v>
      </c>
      <c r="J151" s="3" t="s">
        <v>19</v>
      </c>
      <c r="K151" s="3" t="s">
        <v>286</v>
      </c>
      <c r="L151" s="5">
        <v>1</v>
      </c>
      <c r="M151" s="3" t="s">
        <v>287</v>
      </c>
      <c r="N151" s="3" t="s">
        <v>288</v>
      </c>
      <c r="O151" s="5">
        <v>1</v>
      </c>
      <c r="P151" s="4">
        <v>46302</v>
      </c>
      <c r="Q151" s="3" t="s">
        <v>668</v>
      </c>
      <c r="R151" s="9">
        <v>957968</v>
      </c>
      <c r="S151" s="9">
        <f ca="1">IF(OR(Q151="SIN PROCESAR",Q151="SIN ENVIAR",Q151="ENVIADO SIN ENTREGAR"),(IF((NETWORKDAYS(E151,TODAY()-1,$U$2:$AA$2))&lt;0,0,(NETWORKDAYS(E151,TODAY()-1,$U$2:$AA$2)))),0)</f>
        <v>0</v>
      </c>
      <c r="T151" s="3" t="s">
        <v>696</v>
      </c>
    </row>
    <row r="152" spans="1:20" x14ac:dyDescent="0.25">
      <c r="A152" s="3" t="s">
        <v>623</v>
      </c>
      <c r="B152" s="3" t="s">
        <v>14</v>
      </c>
      <c r="C152" s="3" t="s">
        <v>284</v>
      </c>
      <c r="D152" s="3" t="s">
        <v>285</v>
      </c>
      <c r="E152" s="4">
        <v>46302</v>
      </c>
      <c r="F152" s="3">
        <v>21420466</v>
      </c>
      <c r="G152" s="3">
        <v>20791087</v>
      </c>
      <c r="H152" s="3" t="s">
        <v>158</v>
      </c>
      <c r="I152" s="3" t="s">
        <v>18</v>
      </c>
      <c r="J152" s="3" t="s">
        <v>19</v>
      </c>
      <c r="K152" s="3" t="s">
        <v>286</v>
      </c>
      <c r="L152" s="5">
        <v>1</v>
      </c>
      <c r="M152" s="3" t="s">
        <v>21</v>
      </c>
      <c r="N152" s="3" t="s">
        <v>22</v>
      </c>
      <c r="O152" s="5">
        <v>1</v>
      </c>
      <c r="P152" s="4">
        <v>46302</v>
      </c>
      <c r="Q152" s="3" t="s">
        <v>668</v>
      </c>
      <c r="R152" s="9">
        <v>957968</v>
      </c>
      <c r="S152" s="9">
        <f ca="1">IF(OR(Q152="SIN PROCESAR",Q152="SIN ENVIAR",Q152="ENVIADO SIN ENTREGAR"),(IF((NETWORKDAYS(E152,TODAY()-1,$U$2:$AA$2))&lt;0,0,(NETWORKDAYS(E152,TODAY()-1,$U$2:$AA$2)))),0)</f>
        <v>0</v>
      </c>
      <c r="T152" s="3" t="s">
        <v>696</v>
      </c>
    </row>
    <row r="153" spans="1:20" x14ac:dyDescent="0.25">
      <c r="A153" s="3" t="s">
        <v>624</v>
      </c>
      <c r="B153" s="3" t="s">
        <v>118</v>
      </c>
      <c r="C153" s="3" t="s">
        <v>289</v>
      </c>
      <c r="D153" s="3" t="s">
        <v>35</v>
      </c>
      <c r="E153" s="4">
        <v>46302</v>
      </c>
      <c r="F153" s="3">
        <v>21434590</v>
      </c>
      <c r="G153" s="3">
        <v>20787772</v>
      </c>
      <c r="H153" s="3" t="s">
        <v>290</v>
      </c>
      <c r="I153" s="3" t="s">
        <v>187</v>
      </c>
      <c r="J153" s="3" t="s">
        <v>19</v>
      </c>
      <c r="K153" s="3" t="s">
        <v>291</v>
      </c>
      <c r="L153" s="5">
        <v>3</v>
      </c>
      <c r="M153" s="3" t="s">
        <v>179</v>
      </c>
      <c r="N153" s="3" t="s">
        <v>180</v>
      </c>
      <c r="O153" s="5">
        <v>3</v>
      </c>
      <c r="P153" s="4">
        <v>46303</v>
      </c>
      <c r="Q153" s="3" t="s">
        <v>669</v>
      </c>
      <c r="R153" s="9">
        <v>958126</v>
      </c>
      <c r="S153" s="9">
        <f ca="1">IF(OR(Q153="SIN PROCESAR",Q153="SIN ENVIAR",Q153="ENVIADO SIN ENTREGAR"),(IF((NETWORKDAYS(E153,TODAY()-1,$U$2:$AA$2))&lt;0,0,(NETWORKDAYS(E153,TODAY()-1,$U$2:$AA$2)))),0)</f>
        <v>0</v>
      </c>
      <c r="T153" s="3" t="s">
        <v>697</v>
      </c>
    </row>
    <row r="154" spans="1:20" x14ac:dyDescent="0.25">
      <c r="A154" s="3" t="s">
        <v>626</v>
      </c>
      <c r="B154" s="3" t="s">
        <v>14</v>
      </c>
      <c r="C154" s="3" t="s">
        <v>296</v>
      </c>
      <c r="D154" s="3" t="s">
        <v>16</v>
      </c>
      <c r="E154" s="4">
        <v>46305</v>
      </c>
      <c r="F154" s="3">
        <v>21446520</v>
      </c>
      <c r="G154" s="3">
        <v>20808958</v>
      </c>
      <c r="H154" s="3" t="s">
        <v>17</v>
      </c>
      <c r="I154" s="3" t="s">
        <v>18</v>
      </c>
      <c r="J154" s="3" t="s">
        <v>19</v>
      </c>
      <c r="K154" s="3" t="s">
        <v>297</v>
      </c>
      <c r="L154" s="5">
        <v>3</v>
      </c>
      <c r="M154" s="3" t="s">
        <v>298</v>
      </c>
      <c r="N154" s="3" t="s">
        <v>299</v>
      </c>
      <c r="O154" s="5">
        <v>0</v>
      </c>
      <c r="P154" s="4">
        <v>46304</v>
      </c>
      <c r="Q154" s="3" t="s">
        <v>667</v>
      </c>
      <c r="R154" s="9"/>
      <c r="S154" s="9">
        <f ca="1">IF(OR(Q154="SIN PROCESAR",Q154="SIN ENVIAR",Q154="ENVIADO SIN ENTREGAR"),(IF((NETWORKDAYS(E154,TODAY()-1,$U$2:$AA$2))&lt;0,0,(NETWORKDAYS(E154,TODAY()-1,$U$2:$AA$2)))),0)</f>
        <v>0</v>
      </c>
      <c r="T154" s="3"/>
    </row>
    <row r="155" spans="1:20" x14ac:dyDescent="0.25">
      <c r="A155" s="3" t="s">
        <v>629</v>
      </c>
      <c r="B155" s="3" t="s">
        <v>111</v>
      </c>
      <c r="C155" s="3" t="s">
        <v>313</v>
      </c>
      <c r="D155" s="3" t="s">
        <v>314</v>
      </c>
      <c r="E155" s="4">
        <v>46304</v>
      </c>
      <c r="F155" s="3">
        <v>21441196</v>
      </c>
      <c r="G155" s="3">
        <v>20800124</v>
      </c>
      <c r="H155" s="3" t="s">
        <v>36</v>
      </c>
      <c r="I155" s="3" t="s">
        <v>18</v>
      </c>
      <c r="J155" s="3" t="s">
        <v>19</v>
      </c>
      <c r="K155" s="3" t="s">
        <v>315</v>
      </c>
      <c r="L155" s="5">
        <v>1</v>
      </c>
      <c r="M155" s="3" t="s">
        <v>316</v>
      </c>
      <c r="N155" s="3" t="s">
        <v>317</v>
      </c>
      <c r="O155" s="5">
        <v>1</v>
      </c>
      <c r="P155" s="4">
        <v>46304</v>
      </c>
      <c r="Q155" s="3" t="s">
        <v>668</v>
      </c>
      <c r="R155" s="9">
        <v>958144</v>
      </c>
      <c r="S155" s="9">
        <f ca="1">IF(OR(Q155="SIN PROCESAR",Q155="SIN ENVIAR",Q155="ENVIADO SIN ENTREGAR"),(IF((NETWORKDAYS(E155,TODAY()-1,$U$2:$AA$2))&lt;0,0,(NETWORKDAYS(E155,TODAY()-1,$U$2:$AA$2)))),0)</f>
        <v>0</v>
      </c>
      <c r="T155" s="3" t="s">
        <v>699</v>
      </c>
    </row>
    <row r="156" spans="1:20" x14ac:dyDescent="0.25">
      <c r="A156" s="3" t="s">
        <v>630</v>
      </c>
      <c r="B156" s="3" t="s">
        <v>160</v>
      </c>
      <c r="C156" s="3" t="s">
        <v>318</v>
      </c>
      <c r="D156" s="3" t="s">
        <v>162</v>
      </c>
      <c r="E156" s="4">
        <v>46301</v>
      </c>
      <c r="F156" s="3">
        <v>21399238</v>
      </c>
      <c r="G156" s="3">
        <v>20784619</v>
      </c>
      <c r="H156" s="3" t="s">
        <v>36</v>
      </c>
      <c r="I156" s="3" t="s">
        <v>42</v>
      </c>
      <c r="J156" s="3" t="s">
        <v>50</v>
      </c>
      <c r="K156" s="3" t="s">
        <v>319</v>
      </c>
      <c r="L156" s="5">
        <v>1</v>
      </c>
      <c r="M156" s="3" t="s">
        <v>320</v>
      </c>
      <c r="N156" s="3" t="s">
        <v>321</v>
      </c>
      <c r="O156" s="5">
        <v>1</v>
      </c>
      <c r="P156" s="4">
        <v>46302</v>
      </c>
      <c r="Q156" s="3" t="s">
        <v>668</v>
      </c>
      <c r="R156" s="9">
        <v>957940</v>
      </c>
      <c r="S156" s="9">
        <f ca="1">IF(OR(Q156="SIN PROCESAR",Q156="SIN ENVIAR",Q156="ENVIADO SIN ENTREGAR"),(IF((NETWORKDAYS(E156,TODAY()-1,$U$2:$AA$2))&lt;0,0,(NETWORKDAYS(E156,TODAY()-1,$U$2:$AA$2)))),0)</f>
        <v>0</v>
      </c>
      <c r="T156" s="3" t="s">
        <v>700</v>
      </c>
    </row>
    <row r="157" spans="1:20" x14ac:dyDescent="0.25">
      <c r="A157" s="3" t="s">
        <v>630</v>
      </c>
      <c r="B157" s="3" t="s">
        <v>160</v>
      </c>
      <c r="C157" s="3" t="s">
        <v>318</v>
      </c>
      <c r="D157" s="3" t="s">
        <v>162</v>
      </c>
      <c r="E157" s="4">
        <v>46301</v>
      </c>
      <c r="F157" s="3">
        <v>21399238</v>
      </c>
      <c r="G157" s="3">
        <v>20784619</v>
      </c>
      <c r="H157" s="3" t="s">
        <v>36</v>
      </c>
      <c r="I157" s="3" t="s">
        <v>42</v>
      </c>
      <c r="J157" s="3" t="s">
        <v>50</v>
      </c>
      <c r="K157" s="3" t="s">
        <v>319</v>
      </c>
      <c r="L157" s="5">
        <v>1</v>
      </c>
      <c r="M157" s="3" t="s">
        <v>322</v>
      </c>
      <c r="N157" s="3" t="s">
        <v>323</v>
      </c>
      <c r="O157" s="5">
        <v>1</v>
      </c>
      <c r="P157" s="4">
        <v>46302</v>
      </c>
      <c r="Q157" s="3" t="s">
        <v>668</v>
      </c>
      <c r="R157" s="9">
        <v>957940</v>
      </c>
      <c r="S157" s="9">
        <f ca="1">IF(OR(Q157="SIN PROCESAR",Q157="SIN ENVIAR",Q157="ENVIADO SIN ENTREGAR"),(IF((NETWORKDAYS(E157,TODAY()-1,$U$2:$AA$2))&lt;0,0,(NETWORKDAYS(E157,TODAY()-1,$U$2:$AA$2)))),0)</f>
        <v>0</v>
      </c>
      <c r="T157" s="3" t="s">
        <v>700</v>
      </c>
    </row>
    <row r="158" spans="1:20" x14ac:dyDescent="0.25">
      <c r="A158" s="3" t="s">
        <v>630</v>
      </c>
      <c r="B158" s="3" t="s">
        <v>160</v>
      </c>
      <c r="C158" s="3" t="s">
        <v>318</v>
      </c>
      <c r="D158" s="3" t="s">
        <v>162</v>
      </c>
      <c r="E158" s="4">
        <v>46301</v>
      </c>
      <c r="F158" s="3">
        <v>21399238</v>
      </c>
      <c r="G158" s="3">
        <v>20784619</v>
      </c>
      <c r="H158" s="3" t="s">
        <v>36</v>
      </c>
      <c r="I158" s="3" t="s">
        <v>42</v>
      </c>
      <c r="J158" s="3" t="s">
        <v>50</v>
      </c>
      <c r="K158" s="3" t="s">
        <v>319</v>
      </c>
      <c r="L158" s="5">
        <v>1</v>
      </c>
      <c r="M158" s="3" t="s">
        <v>324</v>
      </c>
      <c r="N158" s="3" t="s">
        <v>325</v>
      </c>
      <c r="O158" s="5">
        <v>1</v>
      </c>
      <c r="P158" s="4">
        <v>46302</v>
      </c>
      <c r="Q158" s="3" t="s">
        <v>668</v>
      </c>
      <c r="R158" s="9">
        <v>957940</v>
      </c>
      <c r="S158" s="9">
        <f ca="1">IF(OR(Q158="SIN PROCESAR",Q158="SIN ENVIAR",Q158="ENVIADO SIN ENTREGAR"),(IF((NETWORKDAYS(E158,TODAY()-1,$U$2:$AA$2))&lt;0,0,(NETWORKDAYS(E158,TODAY()-1,$U$2:$AA$2)))),0)</f>
        <v>0</v>
      </c>
      <c r="T158" s="3" t="s">
        <v>700</v>
      </c>
    </row>
    <row r="159" spans="1:20" x14ac:dyDescent="0.25">
      <c r="A159" s="3" t="s">
        <v>630</v>
      </c>
      <c r="B159" s="3" t="s">
        <v>160</v>
      </c>
      <c r="C159" s="3" t="s">
        <v>318</v>
      </c>
      <c r="D159" s="3" t="s">
        <v>162</v>
      </c>
      <c r="E159" s="4">
        <v>46301</v>
      </c>
      <c r="F159" s="3">
        <v>21399238</v>
      </c>
      <c r="G159" s="3">
        <v>20784619</v>
      </c>
      <c r="H159" s="3" t="s">
        <v>36</v>
      </c>
      <c r="I159" s="3" t="s">
        <v>42</v>
      </c>
      <c r="J159" s="3" t="s">
        <v>50</v>
      </c>
      <c r="K159" s="3" t="s">
        <v>319</v>
      </c>
      <c r="L159" s="5">
        <v>1</v>
      </c>
      <c r="M159" s="3" t="s">
        <v>326</v>
      </c>
      <c r="N159" s="3" t="s">
        <v>327</v>
      </c>
      <c r="O159" s="5">
        <v>1</v>
      </c>
      <c r="P159" s="4">
        <v>46302</v>
      </c>
      <c r="Q159" s="3" t="s">
        <v>668</v>
      </c>
      <c r="R159" s="9">
        <v>957940</v>
      </c>
      <c r="S159" s="9">
        <f ca="1">IF(OR(Q159="SIN PROCESAR",Q159="SIN ENVIAR",Q159="ENVIADO SIN ENTREGAR"),(IF((NETWORKDAYS(E159,TODAY()-1,$U$2:$AA$2))&lt;0,0,(NETWORKDAYS(E159,TODAY()-1,$U$2:$AA$2)))),0)</f>
        <v>0</v>
      </c>
      <c r="T159" s="3" t="s">
        <v>700</v>
      </c>
    </row>
    <row r="160" spans="1:20" x14ac:dyDescent="0.25">
      <c r="A160" s="3" t="s">
        <v>630</v>
      </c>
      <c r="B160" s="3" t="s">
        <v>160</v>
      </c>
      <c r="C160" s="3" t="s">
        <v>318</v>
      </c>
      <c r="D160" s="3" t="s">
        <v>162</v>
      </c>
      <c r="E160" s="4">
        <v>46301</v>
      </c>
      <c r="F160" s="3">
        <v>21399238</v>
      </c>
      <c r="G160" s="3">
        <v>20784619</v>
      </c>
      <c r="H160" s="3" t="s">
        <v>36</v>
      </c>
      <c r="I160" s="3" t="s">
        <v>42</v>
      </c>
      <c r="J160" s="3" t="s">
        <v>50</v>
      </c>
      <c r="K160" s="3" t="s">
        <v>319</v>
      </c>
      <c r="L160" s="5">
        <v>1</v>
      </c>
      <c r="M160" s="3" t="s">
        <v>328</v>
      </c>
      <c r="N160" s="3" t="s">
        <v>329</v>
      </c>
      <c r="O160" s="5">
        <v>1</v>
      </c>
      <c r="P160" s="4">
        <v>46302</v>
      </c>
      <c r="Q160" s="3" t="s">
        <v>668</v>
      </c>
      <c r="R160" s="9">
        <v>957940</v>
      </c>
      <c r="S160" s="9">
        <f ca="1">IF(OR(Q160="SIN PROCESAR",Q160="SIN ENVIAR",Q160="ENVIADO SIN ENTREGAR"),(IF((NETWORKDAYS(E160,TODAY()-1,$U$2:$AA$2))&lt;0,0,(NETWORKDAYS(E160,TODAY()-1,$U$2:$AA$2)))),0)</f>
        <v>0</v>
      </c>
      <c r="T160" s="3" t="s">
        <v>700</v>
      </c>
    </row>
    <row r="161" spans="1:20" x14ac:dyDescent="0.25">
      <c r="A161" s="3" t="s">
        <v>631</v>
      </c>
      <c r="B161" s="3" t="s">
        <v>111</v>
      </c>
      <c r="C161" s="3" t="s">
        <v>330</v>
      </c>
      <c r="D161" s="3" t="s">
        <v>162</v>
      </c>
      <c r="E161" s="4">
        <v>46301</v>
      </c>
      <c r="F161" s="3">
        <v>21398830</v>
      </c>
      <c r="G161" s="3">
        <v>20785039</v>
      </c>
      <c r="H161" s="3" t="s">
        <v>36</v>
      </c>
      <c r="I161" s="3" t="s">
        <v>18</v>
      </c>
      <c r="J161" s="3" t="s">
        <v>19</v>
      </c>
      <c r="K161" s="3" t="s">
        <v>331</v>
      </c>
      <c r="L161" s="5">
        <v>1</v>
      </c>
      <c r="M161" s="3" t="s">
        <v>316</v>
      </c>
      <c r="N161" s="3" t="s">
        <v>317</v>
      </c>
      <c r="O161" s="5">
        <v>1</v>
      </c>
      <c r="P161" s="4">
        <v>46302</v>
      </c>
      <c r="Q161" s="3" t="s">
        <v>668</v>
      </c>
      <c r="R161" s="9">
        <v>957829</v>
      </c>
      <c r="S161" s="9">
        <f ca="1">IF(OR(Q161="SIN PROCESAR",Q161="SIN ENVIAR",Q161="ENVIADO SIN ENTREGAR"),(IF((NETWORKDAYS(E161,TODAY()-1,$U$2:$AA$2))&lt;0,0,(NETWORKDAYS(E161,TODAY()-1,$U$2:$AA$2)))),0)</f>
        <v>0</v>
      </c>
      <c r="T161" s="3" t="s">
        <v>701</v>
      </c>
    </row>
    <row r="162" spans="1:20" x14ac:dyDescent="0.25">
      <c r="A162" s="3" t="s">
        <v>633</v>
      </c>
      <c r="B162" s="3" t="s">
        <v>340</v>
      </c>
      <c r="C162" s="3" t="s">
        <v>341</v>
      </c>
      <c r="D162" s="3" t="s">
        <v>35</v>
      </c>
      <c r="E162" s="4">
        <v>46302</v>
      </c>
      <c r="F162" s="3">
        <v>21427244</v>
      </c>
      <c r="G162" s="3">
        <v>20792303</v>
      </c>
      <c r="H162" s="3" t="s">
        <v>36</v>
      </c>
      <c r="I162" s="3" t="s">
        <v>18</v>
      </c>
      <c r="J162" s="3" t="s">
        <v>19</v>
      </c>
      <c r="K162" s="3" t="s">
        <v>342</v>
      </c>
      <c r="L162" s="5">
        <v>1</v>
      </c>
      <c r="M162" s="3" t="s">
        <v>343</v>
      </c>
      <c r="N162" s="3" t="s">
        <v>344</v>
      </c>
      <c r="O162" s="5">
        <v>1</v>
      </c>
      <c r="P162" s="4">
        <v>46304</v>
      </c>
      <c r="Q162" s="3" t="s">
        <v>668</v>
      </c>
      <c r="R162" s="9">
        <v>958145</v>
      </c>
      <c r="S162" s="9">
        <f ca="1">IF(OR(Q162="SIN PROCESAR",Q162="SIN ENVIAR",Q162="ENVIADO SIN ENTREGAR"),(IF((NETWORKDAYS(E162,TODAY()-1,$U$2:$AA$2))&lt;0,0,(NETWORKDAYS(E162,TODAY()-1,$U$2:$AA$2)))),0)</f>
        <v>0</v>
      </c>
      <c r="T162" s="3" t="s">
        <v>703</v>
      </c>
    </row>
    <row r="163" spans="1:20" x14ac:dyDescent="0.25">
      <c r="A163" s="3" t="s">
        <v>633</v>
      </c>
      <c r="B163" s="3" t="s">
        <v>340</v>
      </c>
      <c r="C163" s="3" t="s">
        <v>341</v>
      </c>
      <c r="D163" s="3" t="s">
        <v>35</v>
      </c>
      <c r="E163" s="4">
        <v>46302</v>
      </c>
      <c r="F163" s="3">
        <v>21427244</v>
      </c>
      <c r="G163" s="3">
        <v>20792303</v>
      </c>
      <c r="H163" s="3" t="s">
        <v>36</v>
      </c>
      <c r="I163" s="3" t="s">
        <v>18</v>
      </c>
      <c r="J163" s="3" t="s">
        <v>19</v>
      </c>
      <c r="K163" s="3" t="s">
        <v>342</v>
      </c>
      <c r="L163" s="5">
        <v>1</v>
      </c>
      <c r="M163" s="3" t="s">
        <v>179</v>
      </c>
      <c r="N163" s="3" t="s">
        <v>180</v>
      </c>
      <c r="O163" s="5">
        <v>1</v>
      </c>
      <c r="P163" s="4">
        <v>46304</v>
      </c>
      <c r="Q163" s="3" t="s">
        <v>668</v>
      </c>
      <c r="R163" s="9">
        <v>958145</v>
      </c>
      <c r="S163" s="9">
        <f ca="1">IF(OR(Q163="SIN PROCESAR",Q163="SIN ENVIAR",Q163="ENVIADO SIN ENTREGAR"),(IF((NETWORKDAYS(E163,TODAY()-1,$U$2:$AA$2))&lt;0,0,(NETWORKDAYS(E163,TODAY()-1,$U$2:$AA$2)))),0)</f>
        <v>0</v>
      </c>
      <c r="T163" s="3" t="s">
        <v>703</v>
      </c>
    </row>
    <row r="164" spans="1:20" x14ac:dyDescent="0.25">
      <c r="A164" s="3" t="s">
        <v>633</v>
      </c>
      <c r="B164" s="3" t="s">
        <v>340</v>
      </c>
      <c r="C164" s="3" t="s">
        <v>341</v>
      </c>
      <c r="D164" s="3" t="s">
        <v>35</v>
      </c>
      <c r="E164" s="4">
        <v>46302</v>
      </c>
      <c r="F164" s="3">
        <v>21427244</v>
      </c>
      <c r="G164" s="3">
        <v>20792303</v>
      </c>
      <c r="H164" s="3" t="s">
        <v>36</v>
      </c>
      <c r="I164" s="3" t="s">
        <v>18</v>
      </c>
      <c r="J164" s="3" t="s">
        <v>19</v>
      </c>
      <c r="K164" s="3" t="s">
        <v>342</v>
      </c>
      <c r="L164" s="5">
        <v>1</v>
      </c>
      <c r="M164" s="3" t="s">
        <v>345</v>
      </c>
      <c r="N164" s="3" t="s">
        <v>346</v>
      </c>
      <c r="O164" s="5">
        <v>1</v>
      </c>
      <c r="P164" s="4">
        <v>46304</v>
      </c>
      <c r="Q164" s="3" t="s">
        <v>668</v>
      </c>
      <c r="R164" s="9">
        <v>958145</v>
      </c>
      <c r="S164" s="9">
        <f ca="1">IF(OR(Q164="SIN PROCESAR",Q164="SIN ENVIAR",Q164="ENVIADO SIN ENTREGAR"),(IF((NETWORKDAYS(E164,TODAY()-1,$U$2:$AA$2))&lt;0,0,(NETWORKDAYS(E164,TODAY()-1,$U$2:$AA$2)))),0)</f>
        <v>0</v>
      </c>
      <c r="T164" s="3" t="s">
        <v>703</v>
      </c>
    </row>
    <row r="165" spans="1:20" x14ac:dyDescent="0.25">
      <c r="A165" s="3" t="s">
        <v>633</v>
      </c>
      <c r="B165" s="3" t="s">
        <v>340</v>
      </c>
      <c r="C165" s="3" t="s">
        <v>341</v>
      </c>
      <c r="D165" s="3" t="s">
        <v>35</v>
      </c>
      <c r="E165" s="4">
        <v>46302</v>
      </c>
      <c r="F165" s="3">
        <v>21427244</v>
      </c>
      <c r="G165" s="3">
        <v>20792303</v>
      </c>
      <c r="H165" s="3" t="s">
        <v>36</v>
      </c>
      <c r="I165" s="3" t="s">
        <v>18</v>
      </c>
      <c r="J165" s="3" t="s">
        <v>19</v>
      </c>
      <c r="K165" s="3" t="s">
        <v>342</v>
      </c>
      <c r="L165" s="5">
        <v>1</v>
      </c>
      <c r="M165" s="3" t="s">
        <v>347</v>
      </c>
      <c r="N165" s="3" t="s">
        <v>348</v>
      </c>
      <c r="O165" s="5">
        <v>1</v>
      </c>
      <c r="P165" s="4">
        <v>46304</v>
      </c>
      <c r="Q165" s="3" t="s">
        <v>668</v>
      </c>
      <c r="R165" s="9">
        <v>958145</v>
      </c>
      <c r="S165" s="9">
        <f ca="1">IF(OR(Q165="SIN PROCESAR",Q165="SIN ENVIAR",Q165="ENVIADO SIN ENTREGAR"),(IF((NETWORKDAYS(E165,TODAY()-1,$U$2:$AA$2))&lt;0,0,(NETWORKDAYS(E165,TODAY()-1,$U$2:$AA$2)))),0)</f>
        <v>0</v>
      </c>
      <c r="T165" s="3" t="s">
        <v>703</v>
      </c>
    </row>
    <row r="166" spans="1:20" x14ac:dyDescent="0.25">
      <c r="A166" s="3" t="s">
        <v>633</v>
      </c>
      <c r="B166" s="3" t="s">
        <v>340</v>
      </c>
      <c r="C166" s="3" t="s">
        <v>341</v>
      </c>
      <c r="D166" s="3" t="s">
        <v>35</v>
      </c>
      <c r="E166" s="4">
        <v>46302</v>
      </c>
      <c r="F166" s="3">
        <v>21427244</v>
      </c>
      <c r="G166" s="3">
        <v>20792303</v>
      </c>
      <c r="H166" s="3" t="s">
        <v>36</v>
      </c>
      <c r="I166" s="3" t="s">
        <v>18</v>
      </c>
      <c r="J166" s="3" t="s">
        <v>19</v>
      </c>
      <c r="K166" s="3" t="s">
        <v>342</v>
      </c>
      <c r="L166" s="5">
        <v>1</v>
      </c>
      <c r="M166" s="3" t="s">
        <v>349</v>
      </c>
      <c r="N166" s="3" t="s">
        <v>350</v>
      </c>
      <c r="O166" s="5">
        <v>1</v>
      </c>
      <c r="P166" s="4">
        <v>46304</v>
      </c>
      <c r="Q166" s="3" t="s">
        <v>668</v>
      </c>
      <c r="R166" s="9">
        <v>958145</v>
      </c>
      <c r="S166" s="9">
        <f ca="1">IF(OR(Q166="SIN PROCESAR",Q166="SIN ENVIAR",Q166="ENVIADO SIN ENTREGAR"),(IF((NETWORKDAYS(E166,TODAY()-1,$U$2:$AA$2))&lt;0,0,(NETWORKDAYS(E166,TODAY()-1,$U$2:$AA$2)))),0)</f>
        <v>0</v>
      </c>
      <c r="T166" s="3" t="s">
        <v>703</v>
      </c>
    </row>
    <row r="167" spans="1:20" x14ac:dyDescent="0.25">
      <c r="A167" s="3" t="s">
        <v>634</v>
      </c>
      <c r="B167" s="3" t="s">
        <v>58</v>
      </c>
      <c r="C167" s="3" t="s">
        <v>351</v>
      </c>
      <c r="D167" s="3" t="s">
        <v>206</v>
      </c>
      <c r="E167" s="4">
        <v>46302</v>
      </c>
      <c r="F167" s="3">
        <v>21439342</v>
      </c>
      <c r="G167" s="3">
        <v>20790662</v>
      </c>
      <c r="H167" s="3" t="s">
        <v>158</v>
      </c>
      <c r="I167" s="3" t="s">
        <v>18</v>
      </c>
      <c r="J167" s="3" t="s">
        <v>19</v>
      </c>
      <c r="K167" s="3" t="s">
        <v>352</v>
      </c>
      <c r="L167" s="5">
        <v>1</v>
      </c>
      <c r="M167" s="3" t="s">
        <v>21</v>
      </c>
      <c r="N167" s="3" t="s">
        <v>22</v>
      </c>
      <c r="O167" s="5">
        <v>1</v>
      </c>
      <c r="P167" s="4">
        <v>46302</v>
      </c>
      <c r="Q167" s="3" t="s">
        <v>668</v>
      </c>
      <c r="R167" s="9">
        <v>957978</v>
      </c>
      <c r="S167" s="9">
        <f ca="1">IF(OR(Q167="SIN PROCESAR",Q167="SIN ENVIAR",Q167="ENVIADO SIN ENTREGAR"),(IF((NETWORKDAYS(E167,TODAY()-1,$U$2:$AA$2))&lt;0,0,(NETWORKDAYS(E167,TODAY()-1,$U$2:$AA$2)))),0)</f>
        <v>0</v>
      </c>
      <c r="T167" s="3" t="s">
        <v>704</v>
      </c>
    </row>
    <row r="168" spans="1:20" x14ac:dyDescent="0.25">
      <c r="A168" s="3" t="s">
        <v>634</v>
      </c>
      <c r="B168" s="3" t="s">
        <v>58</v>
      </c>
      <c r="C168" s="3" t="s">
        <v>353</v>
      </c>
      <c r="D168" s="3" t="s">
        <v>354</v>
      </c>
      <c r="E168" s="4">
        <v>46300</v>
      </c>
      <c r="F168" s="3">
        <v>21420558</v>
      </c>
      <c r="G168" s="3">
        <v>20778102</v>
      </c>
      <c r="H168" s="3" t="s">
        <v>163</v>
      </c>
      <c r="I168" s="3" t="s">
        <v>18</v>
      </c>
      <c r="J168" s="3" t="s">
        <v>19</v>
      </c>
      <c r="K168" s="3" t="s">
        <v>355</v>
      </c>
      <c r="L168" s="5">
        <v>1</v>
      </c>
      <c r="M168" s="3" t="s">
        <v>21</v>
      </c>
      <c r="N168" s="3" t="s">
        <v>22</v>
      </c>
      <c r="O168" s="5">
        <v>1</v>
      </c>
      <c r="P168" s="4">
        <v>46301</v>
      </c>
      <c r="Q168" s="3" t="s">
        <v>668</v>
      </c>
      <c r="R168" s="9">
        <v>957664</v>
      </c>
      <c r="S168" s="9">
        <f ca="1">IF(OR(Q168="SIN PROCESAR",Q168="SIN ENVIAR",Q168="ENVIADO SIN ENTREGAR"),(IF((NETWORKDAYS(E168,TODAY()-1,$U$2:$AA$2))&lt;0,0,(NETWORKDAYS(E168,TODAY()-1,$U$2:$AA$2)))),0)</f>
        <v>0</v>
      </c>
      <c r="T168" s="3" t="s">
        <v>705</v>
      </c>
    </row>
    <row r="169" spans="1:20" x14ac:dyDescent="0.25">
      <c r="A169" s="3" t="s">
        <v>634</v>
      </c>
      <c r="B169" s="3" t="s">
        <v>160</v>
      </c>
      <c r="C169" s="3" t="s">
        <v>356</v>
      </c>
      <c r="D169" s="3" t="s">
        <v>162</v>
      </c>
      <c r="E169" s="4">
        <v>46300</v>
      </c>
      <c r="F169" s="3">
        <v>21420520</v>
      </c>
      <c r="G169" s="3">
        <v>20778089</v>
      </c>
      <c r="H169" s="3" t="s">
        <v>163</v>
      </c>
      <c r="I169" s="3" t="s">
        <v>18</v>
      </c>
      <c r="J169" s="3" t="s">
        <v>19</v>
      </c>
      <c r="K169" s="3" t="s">
        <v>357</v>
      </c>
      <c r="L169" s="5">
        <v>1</v>
      </c>
      <c r="M169" s="3" t="s">
        <v>165</v>
      </c>
      <c r="N169" s="3" t="s">
        <v>166</v>
      </c>
      <c r="O169" s="5">
        <v>1</v>
      </c>
      <c r="P169" s="4">
        <v>46301</v>
      </c>
      <c r="Q169" s="3" t="s">
        <v>668</v>
      </c>
      <c r="R169" s="9">
        <v>957663</v>
      </c>
      <c r="S169" s="9">
        <f ca="1">IF(OR(Q169="SIN PROCESAR",Q169="SIN ENVIAR",Q169="ENVIADO SIN ENTREGAR"),(IF((NETWORKDAYS(E169,TODAY()-1,$U$2:$AA$2))&lt;0,0,(NETWORKDAYS(E169,TODAY()-1,$U$2:$AA$2)))),0)</f>
        <v>0</v>
      </c>
      <c r="T169" s="3" t="s">
        <v>706</v>
      </c>
    </row>
    <row r="170" spans="1:20" x14ac:dyDescent="0.25">
      <c r="A170" s="3" t="s">
        <v>635</v>
      </c>
      <c r="B170" s="3" t="s">
        <v>255</v>
      </c>
      <c r="C170" s="3" t="s">
        <v>358</v>
      </c>
      <c r="D170" s="3" t="s">
        <v>35</v>
      </c>
      <c r="E170" s="4">
        <v>46293</v>
      </c>
      <c r="F170" s="3">
        <v>21342796</v>
      </c>
      <c r="G170" s="3">
        <v>20722765</v>
      </c>
      <c r="H170" s="3" t="s">
        <v>36</v>
      </c>
      <c r="I170" s="3" t="s">
        <v>18</v>
      </c>
      <c r="J170" s="3" t="s">
        <v>19</v>
      </c>
      <c r="K170" s="3" t="s">
        <v>359</v>
      </c>
      <c r="L170" s="5">
        <v>1</v>
      </c>
      <c r="M170" s="3" t="s">
        <v>360</v>
      </c>
      <c r="N170" s="3" t="s">
        <v>361</v>
      </c>
      <c r="O170" s="5">
        <v>1</v>
      </c>
      <c r="P170" s="4">
        <v>46296</v>
      </c>
      <c r="Q170" s="3" t="s">
        <v>668</v>
      </c>
      <c r="R170" s="9">
        <v>957025</v>
      </c>
      <c r="S170" s="9">
        <f ca="1">IF(OR(Q170="SIN PROCESAR",Q170="SIN ENVIAR",Q170="ENVIADO SIN ENTREGAR"),(IF((NETWORKDAYS(E170,TODAY()-1,$U$2:$AA$2))&lt;0,0,(NETWORKDAYS(E170,TODAY()-1,$U$2:$AA$2)))),0)</f>
        <v>0</v>
      </c>
      <c r="T170" s="3" t="s">
        <v>707</v>
      </c>
    </row>
    <row r="171" spans="1:20" x14ac:dyDescent="0.25">
      <c r="A171" s="3" t="s">
        <v>636</v>
      </c>
      <c r="B171" s="3" t="s">
        <v>33</v>
      </c>
      <c r="C171" s="3" t="s">
        <v>367</v>
      </c>
      <c r="D171" s="3" t="s">
        <v>368</v>
      </c>
      <c r="E171" s="4">
        <v>46303</v>
      </c>
      <c r="F171" s="3">
        <v>21438814</v>
      </c>
      <c r="G171" s="3">
        <v>20796638</v>
      </c>
      <c r="H171" s="3" t="s">
        <v>17</v>
      </c>
      <c r="I171" s="3" t="s">
        <v>42</v>
      </c>
      <c r="J171" s="3" t="s">
        <v>50</v>
      </c>
      <c r="K171" s="3" t="s">
        <v>369</v>
      </c>
      <c r="L171" s="5">
        <v>1</v>
      </c>
      <c r="M171" s="3" t="s">
        <v>370</v>
      </c>
      <c r="N171" s="3" t="s">
        <v>371</v>
      </c>
      <c r="O171" s="5">
        <v>1</v>
      </c>
      <c r="P171" s="4">
        <v>46303</v>
      </c>
      <c r="Q171" s="3" t="s">
        <v>670</v>
      </c>
      <c r="R171" s="9">
        <v>958099</v>
      </c>
      <c r="S171" s="9">
        <f ca="1">IF(OR(Q171="SIN PROCESAR",Q171="SIN ENVIAR",Q171="ENVIADO SIN ENTREGAR"),(IF((NETWORKDAYS(E171,TODAY()-1,$U$2:$AA$2))&lt;0,0,(NETWORKDAYS(E171,TODAY()-1,$U$2:$AA$2)))),0)</f>
        <v>0</v>
      </c>
      <c r="T171" s="3" t="s">
        <v>708</v>
      </c>
    </row>
    <row r="172" spans="1:20" x14ac:dyDescent="0.25">
      <c r="A172" s="3" t="s">
        <v>636</v>
      </c>
      <c r="B172" s="3" t="s">
        <v>33</v>
      </c>
      <c r="C172" s="3" t="s">
        <v>367</v>
      </c>
      <c r="D172" s="3" t="s">
        <v>368</v>
      </c>
      <c r="E172" s="4">
        <v>46303</v>
      </c>
      <c r="F172" s="3">
        <v>21438814</v>
      </c>
      <c r="G172" s="3">
        <v>20796638</v>
      </c>
      <c r="H172" s="3" t="s">
        <v>17</v>
      </c>
      <c r="I172" s="3" t="s">
        <v>42</v>
      </c>
      <c r="J172" s="3" t="s">
        <v>50</v>
      </c>
      <c r="K172" s="3" t="s">
        <v>369</v>
      </c>
      <c r="L172" s="5">
        <v>1</v>
      </c>
      <c r="M172" s="3" t="s">
        <v>203</v>
      </c>
      <c r="N172" s="3" t="s">
        <v>204</v>
      </c>
      <c r="O172" s="5">
        <v>1</v>
      </c>
      <c r="P172" s="4">
        <v>46303</v>
      </c>
      <c r="Q172" s="3" t="s">
        <v>670</v>
      </c>
      <c r="R172" s="9">
        <v>958099</v>
      </c>
      <c r="S172" s="9">
        <f ca="1">IF(OR(Q172="SIN PROCESAR",Q172="SIN ENVIAR",Q172="ENVIADO SIN ENTREGAR"),(IF((NETWORKDAYS(E172,TODAY()-1,$U$2:$AA$2))&lt;0,0,(NETWORKDAYS(E172,TODAY()-1,$U$2:$AA$2)))),0)</f>
        <v>0</v>
      </c>
      <c r="T172" s="3" t="s">
        <v>708</v>
      </c>
    </row>
    <row r="173" spans="1:20" x14ac:dyDescent="0.25">
      <c r="A173" s="3" t="s">
        <v>636</v>
      </c>
      <c r="B173" s="3" t="s">
        <v>33</v>
      </c>
      <c r="C173" s="3" t="s">
        <v>367</v>
      </c>
      <c r="D173" s="3" t="s">
        <v>368</v>
      </c>
      <c r="E173" s="4">
        <v>46303</v>
      </c>
      <c r="F173" s="3">
        <v>21438814</v>
      </c>
      <c r="G173" s="3">
        <v>20796638</v>
      </c>
      <c r="H173" s="3" t="s">
        <v>17</v>
      </c>
      <c r="I173" s="3" t="s">
        <v>42</v>
      </c>
      <c r="J173" s="3" t="s">
        <v>50</v>
      </c>
      <c r="K173" s="3" t="s">
        <v>369</v>
      </c>
      <c r="L173" s="5">
        <v>1</v>
      </c>
      <c r="M173" s="3" t="s">
        <v>181</v>
      </c>
      <c r="N173" s="3" t="s">
        <v>182</v>
      </c>
      <c r="O173" s="5">
        <v>1</v>
      </c>
      <c r="P173" s="4">
        <v>46303</v>
      </c>
      <c r="Q173" s="3" t="s">
        <v>670</v>
      </c>
      <c r="R173" s="9">
        <v>958099</v>
      </c>
      <c r="S173" s="9">
        <f ca="1">IF(OR(Q173="SIN PROCESAR",Q173="SIN ENVIAR",Q173="ENVIADO SIN ENTREGAR"),(IF((NETWORKDAYS(E173,TODAY()-1,$U$2:$AA$2))&lt;0,0,(NETWORKDAYS(E173,TODAY()-1,$U$2:$AA$2)))),0)</f>
        <v>0</v>
      </c>
      <c r="T173" s="3" t="s">
        <v>708</v>
      </c>
    </row>
    <row r="174" spans="1:20" x14ac:dyDescent="0.25">
      <c r="A174" s="3" t="s">
        <v>637</v>
      </c>
      <c r="B174" s="3" t="s">
        <v>374</v>
      </c>
      <c r="C174" s="3" t="s">
        <v>375</v>
      </c>
      <c r="D174" s="3" t="s">
        <v>376</v>
      </c>
      <c r="E174" s="4">
        <v>46297</v>
      </c>
      <c r="F174" s="3">
        <v>21391170</v>
      </c>
      <c r="G174" s="3">
        <v>20759649</v>
      </c>
      <c r="H174" s="3" t="s">
        <v>17</v>
      </c>
      <c r="I174" s="3" t="s">
        <v>18</v>
      </c>
      <c r="J174" s="3" t="s">
        <v>50</v>
      </c>
      <c r="K174" s="3" t="s">
        <v>377</v>
      </c>
      <c r="L174" s="5">
        <v>1</v>
      </c>
      <c r="M174" s="3" t="s">
        <v>378</v>
      </c>
      <c r="N174" s="3" t="s">
        <v>379</v>
      </c>
      <c r="O174" s="5">
        <v>1</v>
      </c>
      <c r="P174" s="4">
        <v>46302</v>
      </c>
      <c r="Q174" s="3" t="s">
        <v>668</v>
      </c>
      <c r="R174" s="9">
        <v>957900</v>
      </c>
      <c r="S174" s="9">
        <f ca="1">IF(OR(Q174="SIN PROCESAR",Q174="SIN ENVIAR",Q174="ENVIADO SIN ENTREGAR"),(IF((NETWORKDAYS(E174,TODAY()-1,$U$2:$AA$2))&lt;0,0,(NETWORKDAYS(E174,TODAY()-1,$U$2:$AA$2)))),0)</f>
        <v>0</v>
      </c>
      <c r="T174" s="3" t="s">
        <v>709</v>
      </c>
    </row>
    <row r="175" spans="1:20" x14ac:dyDescent="0.25">
      <c r="A175" s="3" t="s">
        <v>637</v>
      </c>
      <c r="B175" s="3" t="s">
        <v>374</v>
      </c>
      <c r="C175" s="3" t="s">
        <v>375</v>
      </c>
      <c r="D175" s="3" t="s">
        <v>376</v>
      </c>
      <c r="E175" s="4">
        <v>46297</v>
      </c>
      <c r="F175" s="3">
        <v>21391170</v>
      </c>
      <c r="G175" s="3">
        <v>20759649</v>
      </c>
      <c r="H175" s="3" t="s">
        <v>17</v>
      </c>
      <c r="I175" s="3" t="s">
        <v>18</v>
      </c>
      <c r="J175" s="3" t="s">
        <v>50</v>
      </c>
      <c r="K175" s="3" t="s">
        <v>377</v>
      </c>
      <c r="L175" s="5">
        <v>1</v>
      </c>
      <c r="M175" s="3" t="s">
        <v>380</v>
      </c>
      <c r="N175" s="3" t="s">
        <v>381</v>
      </c>
      <c r="O175" s="5">
        <v>1</v>
      </c>
      <c r="P175" s="4">
        <v>46302</v>
      </c>
      <c r="Q175" s="3" t="s">
        <v>668</v>
      </c>
      <c r="R175" s="9">
        <v>957900</v>
      </c>
      <c r="S175" s="9">
        <f ca="1">IF(OR(Q175="SIN PROCESAR",Q175="SIN ENVIAR",Q175="ENVIADO SIN ENTREGAR"),(IF((NETWORKDAYS(E175,TODAY()-1,$U$2:$AA$2))&lt;0,0,(NETWORKDAYS(E175,TODAY()-1,$U$2:$AA$2)))),0)</f>
        <v>0</v>
      </c>
      <c r="T175" s="3" t="s">
        <v>709</v>
      </c>
    </row>
    <row r="176" spans="1:20" x14ac:dyDescent="0.25">
      <c r="A176" s="3" t="s">
        <v>643</v>
      </c>
      <c r="B176" s="3" t="s">
        <v>160</v>
      </c>
      <c r="C176" s="3" t="s">
        <v>416</v>
      </c>
      <c r="D176" s="3" t="s">
        <v>162</v>
      </c>
      <c r="E176" s="4">
        <v>46303</v>
      </c>
      <c r="F176" s="3">
        <v>21440118</v>
      </c>
      <c r="G176" s="3">
        <v>20794983</v>
      </c>
      <c r="H176" s="3" t="s">
        <v>36</v>
      </c>
      <c r="I176" s="3" t="s">
        <v>42</v>
      </c>
      <c r="J176" s="3" t="s">
        <v>19</v>
      </c>
      <c r="K176" s="3" t="s">
        <v>417</v>
      </c>
      <c r="L176" s="5">
        <v>1</v>
      </c>
      <c r="M176" s="3" t="s">
        <v>332</v>
      </c>
      <c r="N176" s="3" t="s">
        <v>333</v>
      </c>
      <c r="O176" s="5">
        <v>1</v>
      </c>
      <c r="P176" s="4">
        <v>46303</v>
      </c>
      <c r="Q176" s="3" t="s">
        <v>669</v>
      </c>
      <c r="R176" s="9">
        <v>958039</v>
      </c>
      <c r="S176" s="9">
        <f ca="1">IF(OR(Q176="SIN PROCESAR",Q176="SIN ENVIAR",Q176="ENVIADO SIN ENTREGAR"),(IF((NETWORKDAYS(E176,TODAY()-1,$U$2:$AA$2))&lt;0,0,(NETWORKDAYS(E176,TODAY()-1,$U$2:$AA$2)))),0)</f>
        <v>0</v>
      </c>
      <c r="T176" s="3" t="s">
        <v>714</v>
      </c>
    </row>
    <row r="177" spans="1:20" x14ac:dyDescent="0.25">
      <c r="A177" s="3" t="s">
        <v>644</v>
      </c>
      <c r="B177" s="3" t="s">
        <v>418</v>
      </c>
      <c r="C177" s="3" t="s">
        <v>419</v>
      </c>
      <c r="D177" s="3" t="s">
        <v>420</v>
      </c>
      <c r="E177" s="4">
        <v>46302</v>
      </c>
      <c r="F177" s="3">
        <v>21428604</v>
      </c>
      <c r="G177" s="3">
        <v>20785587</v>
      </c>
      <c r="H177" s="3" t="s">
        <v>17</v>
      </c>
      <c r="I177" s="3" t="s">
        <v>18</v>
      </c>
      <c r="J177" s="3" t="s">
        <v>19</v>
      </c>
      <c r="K177" s="3" t="s">
        <v>421</v>
      </c>
      <c r="L177" s="5">
        <v>1</v>
      </c>
      <c r="M177" s="3" t="s">
        <v>146</v>
      </c>
      <c r="N177" s="3" t="s">
        <v>147</v>
      </c>
      <c r="O177" s="5">
        <v>1</v>
      </c>
      <c r="P177" s="4">
        <v>46302</v>
      </c>
      <c r="Q177" s="3" t="s">
        <v>668</v>
      </c>
      <c r="R177" s="9">
        <v>957891</v>
      </c>
      <c r="S177" s="9">
        <f ca="1">IF(OR(Q177="SIN PROCESAR",Q177="SIN ENVIAR",Q177="ENVIADO SIN ENTREGAR"),(IF((NETWORKDAYS(E177,TODAY()-1,$U$2:$AA$2))&lt;0,0,(NETWORKDAYS(E177,TODAY()-1,$U$2:$AA$2)))),0)</f>
        <v>0</v>
      </c>
      <c r="T177" s="3" t="s">
        <v>715</v>
      </c>
    </row>
    <row r="178" spans="1:20" x14ac:dyDescent="0.25">
      <c r="A178" s="3" t="s">
        <v>644</v>
      </c>
      <c r="B178" s="3" t="s">
        <v>262</v>
      </c>
      <c r="C178" s="3" t="s">
        <v>422</v>
      </c>
      <c r="D178" s="3" t="s">
        <v>423</v>
      </c>
      <c r="E178" s="4">
        <v>46306</v>
      </c>
      <c r="F178" s="3">
        <v>21437918</v>
      </c>
      <c r="G178" s="3">
        <v>20811561</v>
      </c>
      <c r="H178" s="3" t="s">
        <v>36</v>
      </c>
      <c r="I178" s="3" t="s">
        <v>42</v>
      </c>
      <c r="J178" s="3" t="s">
        <v>19</v>
      </c>
      <c r="K178" s="3" t="s">
        <v>424</v>
      </c>
      <c r="L178" s="5">
        <v>1</v>
      </c>
      <c r="M178" s="3" t="s">
        <v>105</v>
      </c>
      <c r="N178" s="3" t="s">
        <v>106</v>
      </c>
      <c r="O178" s="5">
        <v>0</v>
      </c>
      <c r="P178" s="4">
        <v>46302</v>
      </c>
      <c r="Q178" s="3" t="s">
        <v>667</v>
      </c>
      <c r="R178" s="9"/>
      <c r="S178" s="9">
        <f ca="1">IF(OR(Q178="SIN PROCESAR",Q178="SIN ENVIAR",Q178="ENVIADO SIN ENTREGAR"),(IF((NETWORKDAYS(E178,TODAY()-1,$U$2:$AA$2))&lt;0,0,(NETWORKDAYS(E178,TODAY()-1,$U$2:$AA$2)))),0)</f>
        <v>0</v>
      </c>
      <c r="T178" s="3"/>
    </row>
    <row r="179" spans="1:20" x14ac:dyDescent="0.25">
      <c r="A179" s="3" t="s">
        <v>644</v>
      </c>
      <c r="B179" s="3" t="s">
        <v>262</v>
      </c>
      <c r="C179" s="3" t="s">
        <v>422</v>
      </c>
      <c r="D179" s="3" t="s">
        <v>423</v>
      </c>
      <c r="E179" s="4">
        <v>46306</v>
      </c>
      <c r="F179" s="3">
        <v>21437918</v>
      </c>
      <c r="G179" s="3">
        <v>20811561</v>
      </c>
      <c r="H179" s="3" t="s">
        <v>36</v>
      </c>
      <c r="I179" s="3" t="s">
        <v>42</v>
      </c>
      <c r="J179" s="3" t="s">
        <v>19</v>
      </c>
      <c r="K179" s="3" t="s">
        <v>424</v>
      </c>
      <c r="L179" s="5">
        <v>1</v>
      </c>
      <c r="M179" s="3" t="s">
        <v>263</v>
      </c>
      <c r="N179" s="3" t="s">
        <v>264</v>
      </c>
      <c r="O179" s="5">
        <v>0</v>
      </c>
      <c r="P179" s="4">
        <v>46302</v>
      </c>
      <c r="Q179" s="3" t="s">
        <v>667</v>
      </c>
      <c r="R179" s="9"/>
      <c r="S179" s="9">
        <f ca="1">IF(OR(Q179="SIN PROCESAR",Q179="SIN ENVIAR",Q179="ENVIADO SIN ENTREGAR"),(IF((NETWORKDAYS(E179,TODAY()-1,$U$2:$AA$2))&lt;0,0,(NETWORKDAYS(E179,TODAY()-1,$U$2:$AA$2)))),0)</f>
        <v>0</v>
      </c>
      <c r="T179" s="3"/>
    </row>
    <row r="180" spans="1:20" x14ac:dyDescent="0.25">
      <c r="A180" s="3" t="s">
        <v>644</v>
      </c>
      <c r="B180" s="3" t="s">
        <v>14</v>
      </c>
      <c r="C180" s="3" t="s">
        <v>425</v>
      </c>
      <c r="D180" s="3" t="s">
        <v>234</v>
      </c>
      <c r="E180" s="4">
        <v>46301</v>
      </c>
      <c r="F180" s="3">
        <v>21416662</v>
      </c>
      <c r="G180" s="3">
        <v>20781859</v>
      </c>
      <c r="H180" s="3" t="s">
        <v>158</v>
      </c>
      <c r="I180" s="3" t="s">
        <v>18</v>
      </c>
      <c r="J180" s="3" t="s">
        <v>19</v>
      </c>
      <c r="K180" s="3" t="s">
        <v>426</v>
      </c>
      <c r="L180" s="5">
        <v>1</v>
      </c>
      <c r="M180" s="3" t="s">
        <v>21</v>
      </c>
      <c r="N180" s="3" t="s">
        <v>22</v>
      </c>
      <c r="O180" s="5">
        <v>1</v>
      </c>
      <c r="P180" s="4">
        <v>46301</v>
      </c>
      <c r="Q180" s="3" t="s">
        <v>668</v>
      </c>
      <c r="R180" s="9">
        <v>957715</v>
      </c>
      <c r="S180" s="9">
        <f ca="1">IF(OR(Q180="SIN PROCESAR",Q180="SIN ENVIAR",Q180="ENVIADO SIN ENTREGAR"),(IF((NETWORKDAYS(E180,TODAY()-1,$U$2:$AA$2))&lt;0,0,(NETWORKDAYS(E180,TODAY()-1,$U$2:$AA$2)))),0)</f>
        <v>0</v>
      </c>
      <c r="T180" s="3" t="s">
        <v>716</v>
      </c>
    </row>
    <row r="181" spans="1:20" x14ac:dyDescent="0.25">
      <c r="A181" s="3" t="s">
        <v>645</v>
      </c>
      <c r="B181" s="3" t="s">
        <v>14</v>
      </c>
      <c r="C181" s="3" t="s">
        <v>436</v>
      </c>
      <c r="D181" s="3" t="s">
        <v>437</v>
      </c>
      <c r="E181" s="4">
        <v>46301</v>
      </c>
      <c r="F181" s="3">
        <v>21367838</v>
      </c>
      <c r="G181" s="3">
        <v>20785303</v>
      </c>
      <c r="H181" s="3" t="s">
        <v>36</v>
      </c>
      <c r="I181" s="3" t="s">
        <v>18</v>
      </c>
      <c r="J181" s="3" t="s">
        <v>19</v>
      </c>
      <c r="K181" s="3" t="s">
        <v>438</v>
      </c>
      <c r="L181" s="5">
        <v>1</v>
      </c>
      <c r="M181" s="3" t="s">
        <v>287</v>
      </c>
      <c r="N181" s="3" t="s">
        <v>288</v>
      </c>
      <c r="O181" s="5">
        <v>1</v>
      </c>
      <c r="P181" s="4">
        <v>46302</v>
      </c>
      <c r="Q181" s="3" t="s">
        <v>668</v>
      </c>
      <c r="R181" s="9">
        <v>957844</v>
      </c>
      <c r="S181" s="9">
        <f ca="1">IF(OR(Q181="SIN PROCESAR",Q181="SIN ENVIAR",Q181="ENVIADO SIN ENTREGAR"),(IF((NETWORKDAYS(E181,TODAY()-1,$U$2:$AA$2))&lt;0,0,(NETWORKDAYS(E181,TODAY()-1,$U$2:$AA$2)))),0)</f>
        <v>0</v>
      </c>
      <c r="T181" s="3" t="s">
        <v>693</v>
      </c>
    </row>
    <row r="182" spans="1:20" x14ac:dyDescent="0.25">
      <c r="A182" s="3" t="s">
        <v>645</v>
      </c>
      <c r="B182" s="3" t="s">
        <v>255</v>
      </c>
      <c r="C182" s="3" t="s">
        <v>439</v>
      </c>
      <c r="D182" s="3" t="s">
        <v>440</v>
      </c>
      <c r="E182" s="4">
        <v>46301</v>
      </c>
      <c r="F182" s="3">
        <v>21423492</v>
      </c>
      <c r="G182" s="3">
        <v>20783098</v>
      </c>
      <c r="H182" s="3" t="s">
        <v>36</v>
      </c>
      <c r="I182" s="3" t="s">
        <v>37</v>
      </c>
      <c r="J182" s="3" t="s">
        <v>19</v>
      </c>
      <c r="K182" s="3" t="s">
        <v>441</v>
      </c>
      <c r="L182" s="5">
        <v>1</v>
      </c>
      <c r="M182" s="3" t="s">
        <v>177</v>
      </c>
      <c r="N182" s="3" t="s">
        <v>178</v>
      </c>
      <c r="O182" s="5">
        <v>1</v>
      </c>
      <c r="P182" s="4">
        <v>46304</v>
      </c>
      <c r="Q182" s="3" t="s">
        <v>668</v>
      </c>
      <c r="R182" s="9">
        <v>958151</v>
      </c>
      <c r="S182" s="9">
        <f ca="1">IF(OR(Q182="SIN PROCESAR",Q182="SIN ENVIAR",Q182="ENVIADO SIN ENTREGAR"),(IF((NETWORKDAYS(E182,TODAY()-1,$U$2:$AA$2))&lt;0,0,(NETWORKDAYS(E182,TODAY()-1,$U$2:$AA$2)))),0)</f>
        <v>0</v>
      </c>
      <c r="T182" s="3" t="s">
        <v>693</v>
      </c>
    </row>
    <row r="183" spans="1:20" x14ac:dyDescent="0.25">
      <c r="A183" s="3" t="s">
        <v>645</v>
      </c>
      <c r="B183" s="3" t="s">
        <v>255</v>
      </c>
      <c r="C183" s="3" t="s">
        <v>439</v>
      </c>
      <c r="D183" s="3" t="s">
        <v>440</v>
      </c>
      <c r="E183" s="4">
        <v>46301</v>
      </c>
      <c r="F183" s="3">
        <v>21423492</v>
      </c>
      <c r="G183" s="3">
        <v>20783098</v>
      </c>
      <c r="H183" s="3" t="s">
        <v>36</v>
      </c>
      <c r="I183" s="3" t="s">
        <v>37</v>
      </c>
      <c r="J183" s="3" t="s">
        <v>19</v>
      </c>
      <c r="K183" s="3" t="s">
        <v>441</v>
      </c>
      <c r="L183" s="5">
        <v>1</v>
      </c>
      <c r="M183" s="3" t="s">
        <v>442</v>
      </c>
      <c r="N183" s="3" t="s">
        <v>443</v>
      </c>
      <c r="O183" s="5">
        <v>1</v>
      </c>
      <c r="P183" s="4">
        <v>46304</v>
      </c>
      <c r="Q183" s="3" t="s">
        <v>668</v>
      </c>
      <c r="R183" s="9">
        <v>958151</v>
      </c>
      <c r="S183" s="9">
        <f ca="1">IF(OR(Q183="SIN PROCESAR",Q183="SIN ENVIAR",Q183="ENVIADO SIN ENTREGAR"),(IF((NETWORKDAYS(E183,TODAY()-1,$U$2:$AA$2))&lt;0,0,(NETWORKDAYS(E183,TODAY()-1,$U$2:$AA$2)))),0)</f>
        <v>0</v>
      </c>
      <c r="T183" s="3" t="s">
        <v>693</v>
      </c>
    </row>
    <row r="184" spans="1:20" x14ac:dyDescent="0.25">
      <c r="A184" s="3" t="s">
        <v>645</v>
      </c>
      <c r="B184" s="3" t="s">
        <v>255</v>
      </c>
      <c r="C184" s="3" t="s">
        <v>439</v>
      </c>
      <c r="D184" s="3" t="s">
        <v>440</v>
      </c>
      <c r="E184" s="4">
        <v>46301</v>
      </c>
      <c r="F184" s="3">
        <v>21423492</v>
      </c>
      <c r="G184" s="3">
        <v>20783098</v>
      </c>
      <c r="H184" s="3" t="s">
        <v>36</v>
      </c>
      <c r="I184" s="3" t="s">
        <v>37</v>
      </c>
      <c r="J184" s="3" t="s">
        <v>19</v>
      </c>
      <c r="K184" s="3" t="s">
        <v>441</v>
      </c>
      <c r="L184" s="5">
        <v>1</v>
      </c>
      <c r="M184" s="3" t="s">
        <v>444</v>
      </c>
      <c r="N184" s="3" t="s">
        <v>445</v>
      </c>
      <c r="O184" s="5">
        <v>1</v>
      </c>
      <c r="P184" s="4">
        <v>46304</v>
      </c>
      <c r="Q184" s="3" t="s">
        <v>668</v>
      </c>
      <c r="R184" s="9">
        <v>958151</v>
      </c>
      <c r="S184" s="9">
        <f ca="1">IF(OR(Q184="SIN PROCESAR",Q184="SIN ENVIAR",Q184="ENVIADO SIN ENTREGAR"),(IF((NETWORKDAYS(E184,TODAY()-1,$U$2:$AA$2))&lt;0,0,(NETWORKDAYS(E184,TODAY()-1,$U$2:$AA$2)))),0)</f>
        <v>0</v>
      </c>
      <c r="T184" s="3" t="s">
        <v>693</v>
      </c>
    </row>
    <row r="185" spans="1:20" x14ac:dyDescent="0.25">
      <c r="A185" s="3" t="s">
        <v>645</v>
      </c>
      <c r="B185" s="3" t="s">
        <v>255</v>
      </c>
      <c r="C185" s="3" t="s">
        <v>439</v>
      </c>
      <c r="D185" s="3" t="s">
        <v>440</v>
      </c>
      <c r="E185" s="4">
        <v>46301</v>
      </c>
      <c r="F185" s="3">
        <v>21423492</v>
      </c>
      <c r="G185" s="3">
        <v>20783098</v>
      </c>
      <c r="H185" s="3" t="s">
        <v>36</v>
      </c>
      <c r="I185" s="3" t="s">
        <v>37</v>
      </c>
      <c r="J185" s="3" t="s">
        <v>19</v>
      </c>
      <c r="K185" s="3" t="s">
        <v>441</v>
      </c>
      <c r="L185" s="5">
        <v>1</v>
      </c>
      <c r="M185" s="3" t="s">
        <v>446</v>
      </c>
      <c r="N185" s="3" t="s">
        <v>447</v>
      </c>
      <c r="O185" s="5">
        <v>1</v>
      </c>
      <c r="P185" s="4">
        <v>46304</v>
      </c>
      <c r="Q185" s="3" t="s">
        <v>668</v>
      </c>
      <c r="R185" s="9">
        <v>958151</v>
      </c>
      <c r="S185" s="9">
        <f ca="1">IF(OR(Q185="SIN PROCESAR",Q185="SIN ENVIAR",Q185="ENVIADO SIN ENTREGAR"),(IF((NETWORKDAYS(E185,TODAY()-1,$U$2:$AA$2))&lt;0,0,(NETWORKDAYS(E185,TODAY()-1,$U$2:$AA$2)))),0)</f>
        <v>0</v>
      </c>
      <c r="T185" s="3" t="s">
        <v>693</v>
      </c>
    </row>
    <row r="186" spans="1:20" x14ac:dyDescent="0.25">
      <c r="A186" s="3" t="s">
        <v>645</v>
      </c>
      <c r="B186" s="3" t="s">
        <v>255</v>
      </c>
      <c r="C186" s="3" t="s">
        <v>439</v>
      </c>
      <c r="D186" s="3" t="s">
        <v>440</v>
      </c>
      <c r="E186" s="4">
        <v>46301</v>
      </c>
      <c r="F186" s="3">
        <v>21423492</v>
      </c>
      <c r="G186" s="3">
        <v>20783098</v>
      </c>
      <c r="H186" s="3" t="s">
        <v>36</v>
      </c>
      <c r="I186" s="3" t="s">
        <v>37</v>
      </c>
      <c r="J186" s="3" t="s">
        <v>19</v>
      </c>
      <c r="K186" s="3" t="s">
        <v>441</v>
      </c>
      <c r="L186" s="5">
        <v>1</v>
      </c>
      <c r="M186" s="3" t="s">
        <v>448</v>
      </c>
      <c r="N186" s="3" t="s">
        <v>449</v>
      </c>
      <c r="O186" s="5">
        <v>1</v>
      </c>
      <c r="P186" s="4">
        <v>46304</v>
      </c>
      <c r="Q186" s="3" t="s">
        <v>668</v>
      </c>
      <c r="R186" s="9">
        <v>958151</v>
      </c>
      <c r="S186" s="9">
        <f ca="1">IF(OR(Q186="SIN PROCESAR",Q186="SIN ENVIAR",Q186="ENVIADO SIN ENTREGAR"),(IF((NETWORKDAYS(E186,TODAY()-1,$U$2:$AA$2))&lt;0,0,(NETWORKDAYS(E186,TODAY()-1,$U$2:$AA$2)))),0)</f>
        <v>0</v>
      </c>
      <c r="T186" s="3" t="s">
        <v>693</v>
      </c>
    </row>
    <row r="187" spans="1:20" x14ac:dyDescent="0.25">
      <c r="A187" s="3" t="s">
        <v>645</v>
      </c>
      <c r="B187" s="3" t="s">
        <v>46</v>
      </c>
      <c r="C187" s="3" t="s">
        <v>454</v>
      </c>
      <c r="D187" s="3" t="s">
        <v>144</v>
      </c>
      <c r="E187" s="4">
        <v>46300</v>
      </c>
      <c r="F187" s="3">
        <v>21393026</v>
      </c>
      <c r="G187" s="3">
        <v>20778178</v>
      </c>
      <c r="H187" s="3" t="s">
        <v>36</v>
      </c>
      <c r="I187" s="3" t="s">
        <v>37</v>
      </c>
      <c r="J187" s="3" t="s">
        <v>19</v>
      </c>
      <c r="K187" s="3" t="s">
        <v>455</v>
      </c>
      <c r="L187" s="5">
        <v>1</v>
      </c>
      <c r="M187" s="3" t="s">
        <v>397</v>
      </c>
      <c r="N187" s="3" t="s">
        <v>398</v>
      </c>
      <c r="O187" s="5">
        <v>1</v>
      </c>
      <c r="P187" s="4">
        <v>46301</v>
      </c>
      <c r="Q187" s="3" t="s">
        <v>668</v>
      </c>
      <c r="R187" s="9" t="s">
        <v>674</v>
      </c>
      <c r="S187" s="9">
        <f ca="1">IF(OR(Q187="SIN PROCESAR",Q187="SIN ENVIAR",Q187="ENVIADO SIN ENTREGAR"),(IF((NETWORKDAYS(E187,TODAY()-1,$U$2:$AA$2))&lt;0,0,(NETWORKDAYS(E187,TODAY()-1,$U$2:$AA$2)))),0)</f>
        <v>0</v>
      </c>
      <c r="T187" s="3" t="s">
        <v>718</v>
      </c>
    </row>
    <row r="188" spans="1:20" x14ac:dyDescent="0.25">
      <c r="A188" s="3" t="s">
        <v>645</v>
      </c>
      <c r="B188" s="3" t="s">
        <v>46</v>
      </c>
      <c r="C188" s="3" t="s">
        <v>454</v>
      </c>
      <c r="D188" s="3" t="s">
        <v>144</v>
      </c>
      <c r="E188" s="4">
        <v>46300</v>
      </c>
      <c r="F188" s="3">
        <v>21393026</v>
      </c>
      <c r="G188" s="3">
        <v>20778178</v>
      </c>
      <c r="H188" s="3" t="s">
        <v>36</v>
      </c>
      <c r="I188" s="3" t="s">
        <v>37</v>
      </c>
      <c r="J188" s="3" t="s">
        <v>19</v>
      </c>
      <c r="K188" s="3" t="s">
        <v>455</v>
      </c>
      <c r="L188" s="5">
        <v>1</v>
      </c>
      <c r="M188" s="3" t="s">
        <v>52</v>
      </c>
      <c r="N188" s="3" t="s">
        <v>53</v>
      </c>
      <c r="O188" s="5">
        <v>0</v>
      </c>
      <c r="P188" s="4">
        <v>46301</v>
      </c>
      <c r="Q188" s="3" t="s">
        <v>668</v>
      </c>
      <c r="R188" s="9" t="s">
        <v>674</v>
      </c>
      <c r="S188" s="9">
        <f ca="1">IF(OR(Q188="SIN PROCESAR",Q188="SIN ENVIAR",Q188="ENVIADO SIN ENTREGAR"),(IF((NETWORKDAYS(E188,TODAY()-1,$U$2:$AA$2))&lt;0,0,(NETWORKDAYS(E188,TODAY()-1,$U$2:$AA$2)))),0)</f>
        <v>0</v>
      </c>
      <c r="T188" s="3" t="s">
        <v>718</v>
      </c>
    </row>
    <row r="189" spans="1:20" x14ac:dyDescent="0.25">
      <c r="A189" s="3" t="s">
        <v>645</v>
      </c>
      <c r="B189" s="3" t="s">
        <v>46</v>
      </c>
      <c r="C189" s="3" t="s">
        <v>454</v>
      </c>
      <c r="D189" s="3" t="s">
        <v>144</v>
      </c>
      <c r="E189" s="4">
        <v>46300</v>
      </c>
      <c r="F189" s="3">
        <v>21393026</v>
      </c>
      <c r="G189" s="3">
        <v>20778178</v>
      </c>
      <c r="H189" s="3" t="s">
        <v>36</v>
      </c>
      <c r="I189" s="3" t="s">
        <v>37</v>
      </c>
      <c r="J189" s="3" t="s">
        <v>19</v>
      </c>
      <c r="K189" s="3" t="s">
        <v>455</v>
      </c>
      <c r="L189" s="5">
        <v>1</v>
      </c>
      <c r="M189" s="3" t="s">
        <v>442</v>
      </c>
      <c r="N189" s="3" t="s">
        <v>443</v>
      </c>
      <c r="O189" s="5">
        <v>1</v>
      </c>
      <c r="P189" s="4">
        <v>46301</v>
      </c>
      <c r="Q189" s="3" t="s">
        <v>668</v>
      </c>
      <c r="R189" s="9" t="s">
        <v>674</v>
      </c>
      <c r="S189" s="9">
        <f ca="1">IF(OR(Q189="SIN PROCESAR",Q189="SIN ENVIAR",Q189="ENVIADO SIN ENTREGAR"),(IF((NETWORKDAYS(E189,TODAY()-1,$U$2:$AA$2))&lt;0,0,(NETWORKDAYS(E189,TODAY()-1,$U$2:$AA$2)))),0)</f>
        <v>0</v>
      </c>
      <c r="T189" s="3" t="s">
        <v>718</v>
      </c>
    </row>
    <row r="190" spans="1:20" x14ac:dyDescent="0.25">
      <c r="A190" s="3" t="s">
        <v>645</v>
      </c>
      <c r="B190" s="3" t="s">
        <v>46</v>
      </c>
      <c r="C190" s="3" t="s">
        <v>454</v>
      </c>
      <c r="D190" s="3" t="s">
        <v>144</v>
      </c>
      <c r="E190" s="4">
        <v>46300</v>
      </c>
      <c r="F190" s="3">
        <v>21393026</v>
      </c>
      <c r="G190" s="3">
        <v>20778178</v>
      </c>
      <c r="H190" s="3" t="s">
        <v>36</v>
      </c>
      <c r="I190" s="3" t="s">
        <v>37</v>
      </c>
      <c r="J190" s="3" t="s">
        <v>19</v>
      </c>
      <c r="K190" s="3" t="s">
        <v>455</v>
      </c>
      <c r="L190" s="5">
        <v>1</v>
      </c>
      <c r="M190" s="3" t="s">
        <v>129</v>
      </c>
      <c r="N190" s="3" t="s">
        <v>130</v>
      </c>
      <c r="O190" s="5">
        <v>1</v>
      </c>
      <c r="P190" s="4">
        <v>46301</v>
      </c>
      <c r="Q190" s="3" t="s">
        <v>668</v>
      </c>
      <c r="R190" s="9" t="s">
        <v>674</v>
      </c>
      <c r="S190" s="9">
        <f ca="1">IF(OR(Q190="SIN PROCESAR",Q190="SIN ENVIAR",Q190="ENVIADO SIN ENTREGAR"),(IF((NETWORKDAYS(E190,TODAY()-1,$U$2:$AA$2))&lt;0,0,(NETWORKDAYS(E190,TODAY()-1,$U$2:$AA$2)))),0)</f>
        <v>0</v>
      </c>
      <c r="T190" s="3" t="s">
        <v>718</v>
      </c>
    </row>
    <row r="191" spans="1:20" x14ac:dyDescent="0.25">
      <c r="A191" s="3" t="s">
        <v>645</v>
      </c>
      <c r="B191" s="3" t="s">
        <v>46</v>
      </c>
      <c r="C191" s="3" t="s">
        <v>454</v>
      </c>
      <c r="D191" s="3" t="s">
        <v>144</v>
      </c>
      <c r="E191" s="4">
        <v>46300</v>
      </c>
      <c r="F191" s="3">
        <v>21393026</v>
      </c>
      <c r="G191" s="3">
        <v>20778178</v>
      </c>
      <c r="H191" s="3" t="s">
        <v>36</v>
      </c>
      <c r="I191" s="3" t="s">
        <v>37</v>
      </c>
      <c r="J191" s="3" t="s">
        <v>19</v>
      </c>
      <c r="K191" s="3" t="s">
        <v>455</v>
      </c>
      <c r="L191" s="5">
        <v>2</v>
      </c>
      <c r="M191" s="3" t="s">
        <v>177</v>
      </c>
      <c r="N191" s="3" t="s">
        <v>178</v>
      </c>
      <c r="O191" s="5">
        <v>2</v>
      </c>
      <c r="P191" s="4">
        <v>46301</v>
      </c>
      <c r="Q191" s="3" t="s">
        <v>668</v>
      </c>
      <c r="R191" s="9" t="s">
        <v>674</v>
      </c>
      <c r="S191" s="9">
        <f ca="1">IF(OR(Q191="SIN PROCESAR",Q191="SIN ENVIAR",Q191="ENVIADO SIN ENTREGAR"),(IF((NETWORKDAYS(E191,TODAY()-1,$U$2:$AA$2))&lt;0,0,(NETWORKDAYS(E191,TODAY()-1,$U$2:$AA$2)))),0)</f>
        <v>0</v>
      </c>
      <c r="T191" s="3" t="s">
        <v>718</v>
      </c>
    </row>
    <row r="192" spans="1:20" x14ac:dyDescent="0.25">
      <c r="A192" s="3" t="s">
        <v>646</v>
      </c>
      <c r="B192" s="3" t="s">
        <v>216</v>
      </c>
      <c r="C192" s="3" t="s">
        <v>464</v>
      </c>
      <c r="D192" s="3" t="s">
        <v>202</v>
      </c>
      <c r="E192" s="4">
        <v>46302</v>
      </c>
      <c r="F192" s="3">
        <v>21430276</v>
      </c>
      <c r="G192" s="3">
        <v>20788467</v>
      </c>
      <c r="H192" s="3" t="s">
        <v>78</v>
      </c>
      <c r="I192" s="3" t="s">
        <v>49</v>
      </c>
      <c r="J192" s="3" t="s">
        <v>19</v>
      </c>
      <c r="K192" s="3" t="s">
        <v>465</v>
      </c>
      <c r="L192" s="5">
        <v>1</v>
      </c>
      <c r="M192" s="3" t="s">
        <v>230</v>
      </c>
      <c r="N192" s="3" t="s">
        <v>231</v>
      </c>
      <c r="O192" s="5">
        <v>1</v>
      </c>
      <c r="P192" s="4">
        <v>46303</v>
      </c>
      <c r="Q192" s="3" t="s">
        <v>668</v>
      </c>
      <c r="R192" s="9">
        <v>958102</v>
      </c>
      <c r="S192" s="9">
        <f ca="1">IF(OR(Q192="SIN PROCESAR",Q192="SIN ENVIAR",Q192="ENVIADO SIN ENTREGAR"),(IF((NETWORKDAYS(E192,TODAY()-1,$U$2:$AA$2))&lt;0,0,(NETWORKDAYS(E192,TODAY()-1,$U$2:$AA$2)))),0)</f>
        <v>0</v>
      </c>
      <c r="T192" s="3" t="s">
        <v>720</v>
      </c>
    </row>
    <row r="193" spans="1:20" x14ac:dyDescent="0.25">
      <c r="A193" s="3" t="s">
        <v>647</v>
      </c>
      <c r="B193" s="3" t="s">
        <v>75</v>
      </c>
      <c r="C193" s="3" t="s">
        <v>478</v>
      </c>
      <c r="D193" s="3" t="s">
        <v>479</v>
      </c>
      <c r="E193" s="4">
        <v>46301</v>
      </c>
      <c r="F193" s="3">
        <v>21393628</v>
      </c>
      <c r="G193" s="3">
        <v>20782994</v>
      </c>
      <c r="H193" s="3" t="s">
        <v>17</v>
      </c>
      <c r="I193" s="3" t="s">
        <v>37</v>
      </c>
      <c r="J193" s="3" t="s">
        <v>480</v>
      </c>
      <c r="K193" s="3" t="s">
        <v>481</v>
      </c>
      <c r="L193" s="5">
        <v>1</v>
      </c>
      <c r="M193" s="3" t="s">
        <v>458</v>
      </c>
      <c r="N193" s="3" t="s">
        <v>459</v>
      </c>
      <c r="O193" s="5">
        <v>1</v>
      </c>
      <c r="P193" s="4">
        <v>46302</v>
      </c>
      <c r="Q193" s="3" t="s">
        <v>668</v>
      </c>
      <c r="R193" s="9">
        <v>957833</v>
      </c>
      <c r="S193" s="9">
        <f ca="1">IF(OR(Q193="SIN PROCESAR",Q193="SIN ENVIAR",Q193="ENVIADO SIN ENTREGAR"),(IF((NETWORKDAYS(E193,TODAY()-1,$U$2:$AA$2))&lt;0,0,(NETWORKDAYS(E193,TODAY()-1,$U$2:$AA$2)))),0)</f>
        <v>0</v>
      </c>
      <c r="T193" s="3" t="s">
        <v>724</v>
      </c>
    </row>
    <row r="194" spans="1:20" x14ac:dyDescent="0.25">
      <c r="A194" s="3" t="s">
        <v>648</v>
      </c>
      <c r="B194" s="3" t="s">
        <v>183</v>
      </c>
      <c r="C194" s="3" t="s">
        <v>502</v>
      </c>
      <c r="D194" s="3" t="s">
        <v>368</v>
      </c>
      <c r="E194" s="4">
        <v>46303</v>
      </c>
      <c r="F194" s="3">
        <v>21438682</v>
      </c>
      <c r="G194" s="3">
        <v>20796873</v>
      </c>
      <c r="H194" s="3" t="s">
        <v>17</v>
      </c>
      <c r="I194" s="3" t="s">
        <v>138</v>
      </c>
      <c r="J194" s="3" t="s">
        <v>50</v>
      </c>
      <c r="K194" s="3" t="s">
        <v>503</v>
      </c>
      <c r="L194" s="5">
        <v>1</v>
      </c>
      <c r="M194" s="3" t="s">
        <v>504</v>
      </c>
      <c r="N194" s="3" t="s">
        <v>505</v>
      </c>
      <c r="O194" s="5">
        <v>1</v>
      </c>
      <c r="P194" s="4">
        <v>46303</v>
      </c>
      <c r="Q194" s="3" t="s">
        <v>670</v>
      </c>
      <c r="R194" s="9">
        <v>958095</v>
      </c>
      <c r="S194" s="9">
        <f ca="1">IF(OR(Q194="SIN PROCESAR",Q194="SIN ENVIAR",Q194="ENVIADO SIN ENTREGAR"),(IF((NETWORKDAYS(E194,TODAY()-1,$U$2:$AA$2))&lt;0,0,(NETWORKDAYS(E194,TODAY()-1,$U$2:$AA$2)))),0)</f>
        <v>0</v>
      </c>
      <c r="T194" s="3" t="s">
        <v>725</v>
      </c>
    </row>
    <row r="195" spans="1:20" x14ac:dyDescent="0.25">
      <c r="A195" s="3" t="s">
        <v>649</v>
      </c>
      <c r="B195" s="3" t="s">
        <v>111</v>
      </c>
      <c r="C195" s="3" t="s">
        <v>506</v>
      </c>
      <c r="D195" s="3" t="s">
        <v>250</v>
      </c>
      <c r="E195" s="4">
        <v>46301</v>
      </c>
      <c r="F195" s="3">
        <v>21420076</v>
      </c>
      <c r="G195" s="3">
        <v>20780679</v>
      </c>
      <c r="H195" s="3" t="s">
        <v>158</v>
      </c>
      <c r="I195" s="3" t="s">
        <v>18</v>
      </c>
      <c r="J195" s="3" t="s">
        <v>19</v>
      </c>
      <c r="K195" s="3" t="s">
        <v>507</v>
      </c>
      <c r="L195" s="5">
        <v>1</v>
      </c>
      <c r="M195" s="3" t="s">
        <v>316</v>
      </c>
      <c r="N195" s="3" t="s">
        <v>317</v>
      </c>
      <c r="O195" s="5">
        <v>1</v>
      </c>
      <c r="P195" s="4">
        <v>46302</v>
      </c>
      <c r="Q195" s="3" t="s">
        <v>669</v>
      </c>
      <c r="R195" s="9">
        <v>957839</v>
      </c>
      <c r="S195" s="9">
        <f ca="1">IF(OR(Q195="SIN PROCESAR",Q195="SIN ENVIAR",Q195="ENVIADO SIN ENTREGAR"),(IF((NETWORKDAYS(E195,TODAY()-1,$U$2:$AA$2))&lt;0,0,(NETWORKDAYS(E195,TODAY()-1,$U$2:$AA$2)))),0)</f>
        <v>0</v>
      </c>
      <c r="T195" s="3" t="s">
        <v>726</v>
      </c>
    </row>
    <row r="196" spans="1:20" x14ac:dyDescent="0.25">
      <c r="A196" s="3" t="s">
        <v>653</v>
      </c>
      <c r="B196" s="3" t="s">
        <v>58</v>
      </c>
      <c r="C196" s="3" t="s">
        <v>526</v>
      </c>
      <c r="D196" s="3" t="s">
        <v>527</v>
      </c>
      <c r="E196" s="4">
        <v>46302</v>
      </c>
      <c r="F196" s="3">
        <v>21439494</v>
      </c>
      <c r="G196" s="3">
        <v>20791552</v>
      </c>
      <c r="H196" s="3" t="s">
        <v>158</v>
      </c>
      <c r="I196" s="3" t="s">
        <v>18</v>
      </c>
      <c r="J196" s="3" t="s">
        <v>19</v>
      </c>
      <c r="K196" s="3" t="s">
        <v>528</v>
      </c>
      <c r="L196" s="5">
        <v>1</v>
      </c>
      <c r="M196" s="3" t="s">
        <v>21</v>
      </c>
      <c r="N196" s="3" t="s">
        <v>22</v>
      </c>
      <c r="O196" s="5">
        <v>1</v>
      </c>
      <c r="P196" s="4">
        <v>46303</v>
      </c>
      <c r="Q196" s="3" t="s">
        <v>668</v>
      </c>
      <c r="R196" s="9">
        <v>957950</v>
      </c>
      <c r="S196" s="9">
        <f ca="1">IF(OR(Q196="SIN PROCESAR",Q196="SIN ENVIAR",Q196="ENVIADO SIN ENTREGAR"),(IF((NETWORKDAYS(E196,TODAY()-1,$U$2:$AA$2))&lt;0,0,(NETWORKDAYS(E196,TODAY()-1,$U$2:$AA$2)))),0)</f>
        <v>0</v>
      </c>
      <c r="T196" s="3" t="s">
        <v>730</v>
      </c>
    </row>
    <row r="197" spans="1:20" x14ac:dyDescent="0.25">
      <c r="A197" s="3" t="s">
        <v>653</v>
      </c>
      <c r="B197" s="3" t="s">
        <v>111</v>
      </c>
      <c r="C197" s="3" t="s">
        <v>529</v>
      </c>
      <c r="D197" s="3" t="s">
        <v>530</v>
      </c>
      <c r="E197" s="4">
        <v>46302</v>
      </c>
      <c r="F197" s="3">
        <v>21439118</v>
      </c>
      <c r="G197" s="3">
        <v>20791551</v>
      </c>
      <c r="H197" s="3" t="s">
        <v>158</v>
      </c>
      <c r="I197" s="3" t="s">
        <v>18</v>
      </c>
      <c r="J197" s="3" t="s">
        <v>19</v>
      </c>
      <c r="K197" s="3" t="s">
        <v>531</v>
      </c>
      <c r="L197" s="5">
        <v>1</v>
      </c>
      <c r="M197" s="3" t="s">
        <v>316</v>
      </c>
      <c r="N197" s="3" t="s">
        <v>317</v>
      </c>
      <c r="O197" s="5">
        <v>1</v>
      </c>
      <c r="P197" s="4">
        <v>46303</v>
      </c>
      <c r="Q197" s="3" t="s">
        <v>668</v>
      </c>
      <c r="R197" s="9">
        <v>957951</v>
      </c>
      <c r="S197" s="9">
        <f ca="1">IF(OR(Q197="SIN PROCESAR",Q197="SIN ENVIAR",Q197="ENVIADO SIN ENTREGAR"),(IF((NETWORKDAYS(E197,TODAY()-1,$U$2:$AA$2))&lt;0,0,(NETWORKDAYS(E197,TODAY()-1,$U$2:$AA$2)))),0)</f>
        <v>0</v>
      </c>
      <c r="T197" s="3" t="s">
        <v>731</v>
      </c>
    </row>
    <row r="198" spans="1:20" x14ac:dyDescent="0.25">
      <c r="A198" s="3" t="s">
        <v>654</v>
      </c>
      <c r="B198" s="3" t="s">
        <v>183</v>
      </c>
      <c r="C198" s="3" t="s">
        <v>546</v>
      </c>
      <c r="D198" s="3" t="s">
        <v>547</v>
      </c>
      <c r="E198" s="4">
        <v>46290</v>
      </c>
      <c r="F198" s="3">
        <v>21284802</v>
      </c>
      <c r="G198" s="3">
        <v>20707084</v>
      </c>
      <c r="H198" s="3" t="s">
        <v>36</v>
      </c>
      <c r="I198" s="3" t="s">
        <v>155</v>
      </c>
      <c r="J198" s="3" t="s">
        <v>548</v>
      </c>
      <c r="K198" s="3" t="s">
        <v>549</v>
      </c>
      <c r="L198" s="5">
        <v>3</v>
      </c>
      <c r="M198" s="3" t="s">
        <v>238</v>
      </c>
      <c r="N198" s="3" t="s">
        <v>239</v>
      </c>
      <c r="O198" s="5">
        <v>3</v>
      </c>
      <c r="P198" s="4">
        <v>46294</v>
      </c>
      <c r="Q198" s="3" t="s">
        <v>668</v>
      </c>
      <c r="R198" s="9">
        <v>956751</v>
      </c>
      <c r="S198" s="9">
        <f ca="1">IF(OR(Q198="SIN PROCESAR",Q198="SIN ENVIAR",Q198="ENVIADO SIN ENTREGAR"),(IF((NETWORKDAYS(E198,TODAY()-1,$U$2:$AA$2))&lt;0,0,(NETWORKDAYS(E198,TODAY()-1,$U$2:$AA$2)))),0)</f>
        <v>0</v>
      </c>
      <c r="T198" s="3" t="s">
        <v>693</v>
      </c>
    </row>
    <row r="199" spans="1:20" x14ac:dyDescent="0.25">
      <c r="A199" s="3" t="s">
        <v>654</v>
      </c>
      <c r="B199" s="3" t="s">
        <v>183</v>
      </c>
      <c r="C199" s="3" t="s">
        <v>546</v>
      </c>
      <c r="D199" s="3" t="s">
        <v>547</v>
      </c>
      <c r="E199" s="4">
        <v>46290</v>
      </c>
      <c r="F199" s="3">
        <v>21284802</v>
      </c>
      <c r="G199" s="3">
        <v>20707084</v>
      </c>
      <c r="H199" s="3" t="s">
        <v>36</v>
      </c>
      <c r="I199" s="3" t="s">
        <v>155</v>
      </c>
      <c r="J199" s="3" t="s">
        <v>548</v>
      </c>
      <c r="K199" s="3" t="s">
        <v>550</v>
      </c>
      <c r="L199" s="5">
        <v>3</v>
      </c>
      <c r="M199" s="3" t="s">
        <v>244</v>
      </c>
      <c r="N199" s="3" t="s">
        <v>245</v>
      </c>
      <c r="O199" s="5">
        <v>3</v>
      </c>
      <c r="P199" s="4">
        <v>46294</v>
      </c>
      <c r="Q199" s="3" t="s">
        <v>668</v>
      </c>
      <c r="R199" s="9">
        <v>956734</v>
      </c>
      <c r="S199" s="9">
        <f ca="1">IF(OR(Q199="SIN PROCESAR",Q199="SIN ENVIAR",Q199="ENVIADO SIN ENTREGAR"),(IF((NETWORKDAYS(E199,TODAY()-1,$U$2:$AA$2))&lt;0,0,(NETWORKDAYS(E199,TODAY()-1,$U$2:$AA$2)))),0)</f>
        <v>0</v>
      </c>
      <c r="T199" s="3" t="s">
        <v>693</v>
      </c>
    </row>
    <row r="200" spans="1:20" x14ac:dyDescent="0.25">
      <c r="A200" s="3" t="s">
        <v>654</v>
      </c>
      <c r="B200" s="3" t="s">
        <v>183</v>
      </c>
      <c r="C200" s="3" t="s">
        <v>546</v>
      </c>
      <c r="D200" s="3" t="s">
        <v>547</v>
      </c>
      <c r="E200" s="4">
        <v>46290</v>
      </c>
      <c r="F200" s="3">
        <v>21284802</v>
      </c>
      <c r="G200" s="3">
        <v>20707084</v>
      </c>
      <c r="H200" s="3" t="s">
        <v>36</v>
      </c>
      <c r="I200" s="3" t="s">
        <v>155</v>
      </c>
      <c r="J200" s="3" t="s">
        <v>548</v>
      </c>
      <c r="K200" s="3" t="s">
        <v>551</v>
      </c>
      <c r="L200" s="5">
        <v>3</v>
      </c>
      <c r="M200" s="3" t="s">
        <v>236</v>
      </c>
      <c r="N200" s="3" t="s">
        <v>237</v>
      </c>
      <c r="O200" s="5">
        <v>3</v>
      </c>
      <c r="P200" s="4">
        <v>46294</v>
      </c>
      <c r="Q200" s="3" t="s">
        <v>668</v>
      </c>
      <c r="R200" s="9">
        <v>956811</v>
      </c>
      <c r="S200" s="9">
        <f ca="1">IF(OR(Q200="SIN PROCESAR",Q200="SIN ENVIAR",Q200="ENVIADO SIN ENTREGAR"),(IF((NETWORKDAYS(E200,TODAY()-1,$U$2:$AA$2))&lt;0,0,(NETWORKDAYS(E200,TODAY()-1,$U$2:$AA$2)))),0)</f>
        <v>0</v>
      </c>
      <c r="T200" s="3" t="s">
        <v>693</v>
      </c>
    </row>
    <row r="201" spans="1:20" x14ac:dyDescent="0.25">
      <c r="A201" s="3" t="s">
        <v>656</v>
      </c>
      <c r="B201" s="3" t="s">
        <v>33</v>
      </c>
      <c r="C201" s="3" t="s">
        <v>566</v>
      </c>
      <c r="D201" s="3" t="s">
        <v>35</v>
      </c>
      <c r="E201" s="4">
        <v>46307</v>
      </c>
      <c r="F201" s="3">
        <v>21446462</v>
      </c>
      <c r="G201" s="3">
        <v>20811925</v>
      </c>
      <c r="H201" s="3" t="s">
        <v>17</v>
      </c>
      <c r="I201" s="3" t="s">
        <v>18</v>
      </c>
      <c r="J201" s="3" t="s">
        <v>50</v>
      </c>
      <c r="K201" s="3" t="s">
        <v>567</v>
      </c>
      <c r="L201" s="5">
        <v>1</v>
      </c>
      <c r="M201" s="3" t="s">
        <v>363</v>
      </c>
      <c r="N201" s="3" t="s">
        <v>364</v>
      </c>
      <c r="O201" s="5">
        <v>0</v>
      </c>
      <c r="P201" s="4">
        <v>46304</v>
      </c>
      <c r="Q201" s="3" t="s">
        <v>667</v>
      </c>
      <c r="R201" s="9"/>
      <c r="S201" s="9">
        <f ca="1">IF(OR(Q201="SIN PROCESAR",Q201="SIN ENVIAR",Q201="ENVIADO SIN ENTREGAR"),(IF((NETWORKDAYS(E201,TODAY()-1,$U$2:$AA$2))&lt;0,0,(NETWORKDAYS(E201,TODAY()-1,$U$2:$AA$2)))),0)</f>
        <v>0</v>
      </c>
      <c r="T201" s="3"/>
    </row>
    <row r="202" spans="1:20" x14ac:dyDescent="0.25">
      <c r="A202" s="3" t="s">
        <v>656</v>
      </c>
      <c r="B202" s="3" t="s">
        <v>33</v>
      </c>
      <c r="C202" s="3" t="s">
        <v>566</v>
      </c>
      <c r="D202" s="3" t="s">
        <v>35</v>
      </c>
      <c r="E202" s="4">
        <v>46307</v>
      </c>
      <c r="F202" s="3">
        <v>21446462</v>
      </c>
      <c r="G202" s="3">
        <v>20811925</v>
      </c>
      <c r="H202" s="3" t="s">
        <v>17</v>
      </c>
      <c r="I202" s="3" t="s">
        <v>18</v>
      </c>
      <c r="J202" s="3" t="s">
        <v>50</v>
      </c>
      <c r="K202" s="3" t="s">
        <v>567</v>
      </c>
      <c r="L202" s="5">
        <v>1</v>
      </c>
      <c r="M202" s="3" t="s">
        <v>339</v>
      </c>
      <c r="N202" s="3" t="s">
        <v>122</v>
      </c>
      <c r="O202" s="5">
        <v>0</v>
      </c>
      <c r="P202" s="4">
        <v>46304</v>
      </c>
      <c r="Q202" s="3" t="s">
        <v>667</v>
      </c>
      <c r="R202" s="9"/>
      <c r="S202" s="9">
        <f ca="1">IF(OR(Q202="SIN PROCESAR",Q202="SIN ENVIAR",Q202="ENVIADO SIN ENTREGAR"),(IF((NETWORKDAYS(E202,TODAY()-1,$U$2:$AA$2))&lt;0,0,(NETWORKDAYS(E202,TODAY()-1,$U$2:$AA$2)))),0)</f>
        <v>0</v>
      </c>
      <c r="T202" s="3"/>
    </row>
    <row r="203" spans="1:20" x14ac:dyDescent="0.25">
      <c r="A203" s="3" t="s">
        <v>656</v>
      </c>
      <c r="B203" s="3" t="s">
        <v>33</v>
      </c>
      <c r="C203" s="3" t="s">
        <v>566</v>
      </c>
      <c r="D203" s="3" t="s">
        <v>35</v>
      </c>
      <c r="E203" s="4">
        <v>46307</v>
      </c>
      <c r="F203" s="3">
        <v>21446462</v>
      </c>
      <c r="G203" s="3">
        <v>20811925</v>
      </c>
      <c r="H203" s="3" t="s">
        <v>17</v>
      </c>
      <c r="I203" s="3" t="s">
        <v>18</v>
      </c>
      <c r="J203" s="3" t="s">
        <v>50</v>
      </c>
      <c r="K203" s="3" t="s">
        <v>567</v>
      </c>
      <c r="L203" s="5">
        <v>1</v>
      </c>
      <c r="M203" s="3" t="s">
        <v>127</v>
      </c>
      <c r="N203" s="3" t="s">
        <v>128</v>
      </c>
      <c r="O203" s="5">
        <v>0</v>
      </c>
      <c r="P203" s="4">
        <v>46304</v>
      </c>
      <c r="Q203" s="3" t="s">
        <v>667</v>
      </c>
      <c r="R203" s="9"/>
      <c r="S203" s="9">
        <f ca="1">IF(OR(Q203="SIN PROCESAR",Q203="SIN ENVIAR",Q203="ENVIADO SIN ENTREGAR"),(IF((NETWORKDAYS(E203,TODAY()-1,$U$2:$AA$2))&lt;0,0,(NETWORKDAYS(E203,TODAY()-1,$U$2:$AA$2)))),0)</f>
        <v>0</v>
      </c>
      <c r="T203" s="3"/>
    </row>
    <row r="204" spans="1:20" x14ac:dyDescent="0.25">
      <c r="A204" s="3" t="s">
        <v>656</v>
      </c>
      <c r="B204" s="3" t="s">
        <v>33</v>
      </c>
      <c r="C204" s="3" t="s">
        <v>566</v>
      </c>
      <c r="D204" s="3" t="s">
        <v>35</v>
      </c>
      <c r="E204" s="4">
        <v>46307</v>
      </c>
      <c r="F204" s="3">
        <v>21446462</v>
      </c>
      <c r="G204" s="3">
        <v>20811925</v>
      </c>
      <c r="H204" s="3" t="s">
        <v>17</v>
      </c>
      <c r="I204" s="3" t="s">
        <v>18</v>
      </c>
      <c r="J204" s="3" t="s">
        <v>50</v>
      </c>
      <c r="K204" s="3" t="s">
        <v>567</v>
      </c>
      <c r="L204" s="5">
        <v>2</v>
      </c>
      <c r="M204" s="3" t="s">
        <v>125</v>
      </c>
      <c r="N204" s="3" t="s">
        <v>126</v>
      </c>
      <c r="O204" s="5">
        <v>0</v>
      </c>
      <c r="P204" s="4">
        <v>46304</v>
      </c>
      <c r="Q204" s="3" t="s">
        <v>667</v>
      </c>
      <c r="R204" s="9"/>
      <c r="S204" s="9">
        <f ca="1">IF(OR(Q204="SIN PROCESAR",Q204="SIN ENVIAR",Q204="ENVIADO SIN ENTREGAR"),(IF((NETWORKDAYS(E204,TODAY()-1,$U$2:$AA$2))&lt;0,0,(NETWORKDAYS(E204,TODAY()-1,$U$2:$AA$2)))),0)</f>
        <v>0</v>
      </c>
      <c r="T204" s="3"/>
    </row>
    <row r="205" spans="1:20" x14ac:dyDescent="0.25">
      <c r="A205" s="3" t="s">
        <v>656</v>
      </c>
      <c r="B205" s="3" t="s">
        <v>33</v>
      </c>
      <c r="C205" s="3" t="s">
        <v>566</v>
      </c>
      <c r="D205" s="3" t="s">
        <v>35</v>
      </c>
      <c r="E205" s="4">
        <v>46307</v>
      </c>
      <c r="F205" s="3">
        <v>21446462</v>
      </c>
      <c r="G205" s="3">
        <v>20811925</v>
      </c>
      <c r="H205" s="3" t="s">
        <v>17</v>
      </c>
      <c r="I205" s="3" t="s">
        <v>18</v>
      </c>
      <c r="J205" s="3" t="s">
        <v>50</v>
      </c>
      <c r="K205" s="3" t="s">
        <v>567</v>
      </c>
      <c r="L205" s="5">
        <v>4</v>
      </c>
      <c r="M205" s="3" t="s">
        <v>568</v>
      </c>
      <c r="N205" s="3" t="s">
        <v>569</v>
      </c>
      <c r="O205" s="5">
        <v>0</v>
      </c>
      <c r="P205" s="4">
        <v>46304</v>
      </c>
      <c r="Q205" s="3" t="s">
        <v>667</v>
      </c>
      <c r="R205" s="9"/>
      <c r="S205" s="9">
        <f ca="1">IF(OR(Q205="SIN PROCESAR",Q205="SIN ENVIAR",Q205="ENVIADO SIN ENTREGAR"),(IF((NETWORKDAYS(E205,TODAY()-1,$U$2:$AA$2))&lt;0,0,(NETWORKDAYS(E205,TODAY()-1,$U$2:$AA$2)))),0)</f>
        <v>0</v>
      </c>
      <c r="T205" s="3"/>
    </row>
    <row r="206" spans="1:20" x14ac:dyDescent="0.25">
      <c r="A206" s="3" t="s">
        <v>658</v>
      </c>
      <c r="B206" s="3" t="s">
        <v>183</v>
      </c>
      <c r="C206" s="3" t="s">
        <v>573</v>
      </c>
      <c r="D206" s="3" t="s">
        <v>574</v>
      </c>
      <c r="E206" s="4">
        <v>46297</v>
      </c>
      <c r="F206" s="3">
        <v>21377060</v>
      </c>
      <c r="G206" s="3">
        <v>20761306</v>
      </c>
      <c r="H206" s="3" t="s">
        <v>36</v>
      </c>
      <c r="I206" s="3" t="s">
        <v>219</v>
      </c>
      <c r="J206" s="3" t="s">
        <v>19</v>
      </c>
      <c r="K206" s="3" t="s">
        <v>575</v>
      </c>
      <c r="L206" s="5">
        <v>2</v>
      </c>
      <c r="M206" s="3" t="s">
        <v>372</v>
      </c>
      <c r="N206" s="3" t="s">
        <v>373</v>
      </c>
      <c r="O206" s="5">
        <v>2</v>
      </c>
      <c r="P206" s="4">
        <v>46300</v>
      </c>
      <c r="Q206" s="3" t="s">
        <v>668</v>
      </c>
      <c r="R206" s="9">
        <v>957422</v>
      </c>
      <c r="S206" s="9">
        <f ca="1">IF(OR(Q206="SIN PROCESAR",Q206="SIN ENVIAR",Q206="ENVIADO SIN ENTREGAR"),(IF((NETWORKDAYS(E206,TODAY()-1,$U$2:$AA$2))&lt;0,0,(NETWORKDAYS(E206,TODAY()-1,$U$2:$AA$2)))),0)</f>
        <v>0</v>
      </c>
      <c r="T206" s="3" t="s">
        <v>679</v>
      </c>
    </row>
    <row r="207" spans="1:20" x14ac:dyDescent="0.25">
      <c r="A207" s="3" t="s">
        <v>658</v>
      </c>
      <c r="B207" s="3" t="s">
        <v>75</v>
      </c>
      <c r="C207" s="3" t="s">
        <v>576</v>
      </c>
      <c r="D207" s="3" t="s">
        <v>77</v>
      </c>
      <c r="E207" s="4">
        <v>46297</v>
      </c>
      <c r="F207" s="3">
        <v>21393840</v>
      </c>
      <c r="G207" s="3">
        <v>20762113</v>
      </c>
      <c r="H207" s="3" t="s">
        <v>17</v>
      </c>
      <c r="I207" s="3" t="s">
        <v>18</v>
      </c>
      <c r="J207" s="3" t="s">
        <v>19</v>
      </c>
      <c r="K207" s="3" t="s">
        <v>577</v>
      </c>
      <c r="L207" s="5">
        <v>1</v>
      </c>
      <c r="M207" s="3" t="s">
        <v>578</v>
      </c>
      <c r="N207" s="3" t="s">
        <v>579</v>
      </c>
      <c r="O207" s="5">
        <v>1</v>
      </c>
      <c r="P207" s="4">
        <v>46300</v>
      </c>
      <c r="Q207" s="3" t="s">
        <v>668</v>
      </c>
      <c r="R207" s="9">
        <v>957563</v>
      </c>
      <c r="S207" s="9">
        <f ca="1">IF(OR(Q207="SIN PROCESAR",Q207="SIN ENVIAR",Q207="ENVIADO SIN ENTREGAR"),(IF((NETWORKDAYS(E207,TODAY()-1,$U$2:$AA$2))&lt;0,0,(NETWORKDAYS(E207,TODAY()-1,$U$2:$AA$2)))),0)</f>
        <v>0</v>
      </c>
      <c r="T207" s="3" t="s">
        <v>679</v>
      </c>
    </row>
    <row r="208" spans="1:20" x14ac:dyDescent="0.25">
      <c r="A208" s="3" t="s">
        <v>658</v>
      </c>
      <c r="B208" s="3" t="s">
        <v>75</v>
      </c>
      <c r="C208" s="3" t="s">
        <v>576</v>
      </c>
      <c r="D208" s="3" t="s">
        <v>77</v>
      </c>
      <c r="E208" s="4">
        <v>46297</v>
      </c>
      <c r="F208" s="3">
        <v>21393840</v>
      </c>
      <c r="G208" s="3">
        <v>20762113</v>
      </c>
      <c r="H208" s="3" t="s">
        <v>17</v>
      </c>
      <c r="I208" s="3" t="s">
        <v>18</v>
      </c>
      <c r="J208" s="3" t="s">
        <v>19</v>
      </c>
      <c r="K208" s="3" t="s">
        <v>580</v>
      </c>
      <c r="L208" s="5">
        <v>1</v>
      </c>
      <c r="M208" s="3" t="s">
        <v>581</v>
      </c>
      <c r="N208" s="3" t="s">
        <v>582</v>
      </c>
      <c r="O208" s="5">
        <v>1</v>
      </c>
      <c r="P208" s="4">
        <v>46300</v>
      </c>
      <c r="Q208" s="3" t="s">
        <v>668</v>
      </c>
      <c r="R208" s="9">
        <v>957563</v>
      </c>
      <c r="S208" s="9">
        <f ca="1">IF(OR(Q208="SIN PROCESAR",Q208="SIN ENVIAR",Q208="ENVIADO SIN ENTREGAR"),(IF((NETWORKDAYS(E208,TODAY()-1,$U$2:$AA$2))&lt;0,0,(NETWORKDAYS(E208,TODAY()-1,$U$2:$AA$2)))),0)</f>
        <v>0</v>
      </c>
      <c r="T208" s="3" t="s">
        <v>679</v>
      </c>
    </row>
    <row r="209" spans="1:20" x14ac:dyDescent="0.25">
      <c r="A209" s="3" t="s">
        <v>658</v>
      </c>
      <c r="B209" s="3" t="s">
        <v>75</v>
      </c>
      <c r="C209" s="3" t="s">
        <v>576</v>
      </c>
      <c r="D209" s="3" t="s">
        <v>77</v>
      </c>
      <c r="E209" s="4">
        <v>46297</v>
      </c>
      <c r="F209" s="3">
        <v>21393840</v>
      </c>
      <c r="G209" s="3">
        <v>20762113</v>
      </c>
      <c r="H209" s="3" t="s">
        <v>17</v>
      </c>
      <c r="I209" s="3" t="s">
        <v>18</v>
      </c>
      <c r="J209" s="3" t="s">
        <v>19</v>
      </c>
      <c r="K209" s="3" t="s">
        <v>583</v>
      </c>
      <c r="L209" s="5">
        <v>1</v>
      </c>
      <c r="M209" s="3" t="s">
        <v>584</v>
      </c>
      <c r="N209" s="3" t="s">
        <v>585</v>
      </c>
      <c r="O209" s="5">
        <v>1</v>
      </c>
      <c r="P209" s="4">
        <v>46300</v>
      </c>
      <c r="Q209" s="3" t="s">
        <v>668</v>
      </c>
      <c r="R209" s="9">
        <v>957563</v>
      </c>
      <c r="S209" s="9">
        <f ca="1">IF(OR(Q209="SIN PROCESAR",Q209="SIN ENVIAR",Q209="ENVIADO SIN ENTREGAR"),(IF((NETWORKDAYS(E209,TODAY()-1,$U$2:$AA$2))&lt;0,0,(NETWORKDAYS(E209,TODAY()-1,$U$2:$AA$2)))),0)</f>
        <v>0</v>
      </c>
      <c r="T209" s="3" t="s">
        <v>679</v>
      </c>
    </row>
    <row r="210" spans="1:20" x14ac:dyDescent="0.25">
      <c r="A210" s="3" t="s">
        <v>658</v>
      </c>
      <c r="B210" s="3" t="s">
        <v>75</v>
      </c>
      <c r="C210" s="3" t="s">
        <v>576</v>
      </c>
      <c r="D210" s="3" t="s">
        <v>77</v>
      </c>
      <c r="E210" s="4">
        <v>46297</v>
      </c>
      <c r="F210" s="3">
        <v>21393840</v>
      </c>
      <c r="G210" s="3">
        <v>20762113</v>
      </c>
      <c r="H210" s="3" t="s">
        <v>17</v>
      </c>
      <c r="I210" s="3" t="s">
        <v>18</v>
      </c>
      <c r="J210" s="3" t="s">
        <v>19</v>
      </c>
      <c r="K210" s="3" t="s">
        <v>586</v>
      </c>
      <c r="L210" s="5">
        <v>1</v>
      </c>
      <c r="M210" s="3" t="s">
        <v>587</v>
      </c>
      <c r="N210" s="3" t="s">
        <v>588</v>
      </c>
      <c r="O210" s="5">
        <v>1</v>
      </c>
      <c r="P210" s="4">
        <v>46300</v>
      </c>
      <c r="Q210" s="3" t="s">
        <v>668</v>
      </c>
      <c r="R210" s="9">
        <v>957563</v>
      </c>
      <c r="S210" s="9">
        <f ca="1">IF(OR(Q210="SIN PROCESAR",Q210="SIN ENVIAR",Q210="ENVIADO SIN ENTREGAR"),(IF((NETWORKDAYS(E210,TODAY()-1,$U$2:$AA$2))&lt;0,0,(NETWORKDAYS(E210,TODAY()-1,$U$2:$AA$2)))),0)</f>
        <v>0</v>
      </c>
      <c r="T210" s="3" t="s">
        <v>679</v>
      </c>
    </row>
    <row r="211" spans="1:20" x14ac:dyDescent="0.25">
      <c r="A211" s="3" t="s">
        <v>658</v>
      </c>
      <c r="B211" s="3" t="s">
        <v>75</v>
      </c>
      <c r="C211" s="3" t="s">
        <v>576</v>
      </c>
      <c r="D211" s="3" t="s">
        <v>77</v>
      </c>
      <c r="E211" s="4">
        <v>46297</v>
      </c>
      <c r="F211" s="3">
        <v>21393840</v>
      </c>
      <c r="G211" s="3">
        <v>20762113</v>
      </c>
      <c r="H211" s="3" t="s">
        <v>17</v>
      </c>
      <c r="I211" s="3" t="s">
        <v>18</v>
      </c>
      <c r="J211" s="3" t="s">
        <v>19</v>
      </c>
      <c r="K211" s="3" t="s">
        <v>589</v>
      </c>
      <c r="L211" s="5">
        <v>1</v>
      </c>
      <c r="M211" s="3" t="s">
        <v>590</v>
      </c>
      <c r="N211" s="3" t="s">
        <v>591</v>
      </c>
      <c r="O211" s="5">
        <v>1</v>
      </c>
      <c r="P211" s="4">
        <v>46300</v>
      </c>
      <c r="Q211" s="3" t="s">
        <v>668</v>
      </c>
      <c r="R211" s="9">
        <v>957563</v>
      </c>
      <c r="S211" s="9">
        <f ca="1">IF(OR(Q211="SIN PROCESAR",Q211="SIN ENVIAR",Q211="ENVIADO SIN ENTREGAR"),(IF((NETWORKDAYS(E211,TODAY()-1,$U$2:$AA$2))&lt;0,0,(NETWORKDAYS(E211,TODAY()-1,$U$2:$AA$2)))),0)</f>
        <v>0</v>
      </c>
      <c r="T211" s="3" t="s">
        <v>679</v>
      </c>
    </row>
    <row r="212" spans="1:20" x14ac:dyDescent="0.25">
      <c r="A212" s="3" t="s">
        <v>658</v>
      </c>
      <c r="B212" s="3" t="s">
        <v>111</v>
      </c>
      <c r="C212" s="3" t="s">
        <v>592</v>
      </c>
      <c r="D212" s="3" t="s">
        <v>593</v>
      </c>
      <c r="E212" s="4">
        <v>46294</v>
      </c>
      <c r="F212" s="3">
        <v>21368258</v>
      </c>
      <c r="G212" s="3">
        <v>20735374</v>
      </c>
      <c r="H212" s="3" t="s">
        <v>36</v>
      </c>
      <c r="I212" s="3" t="s">
        <v>42</v>
      </c>
      <c r="J212" s="3" t="s">
        <v>19</v>
      </c>
      <c r="K212" s="3" t="s">
        <v>594</v>
      </c>
      <c r="L212" s="5">
        <v>1</v>
      </c>
      <c r="M212" s="3" t="s">
        <v>595</v>
      </c>
      <c r="N212" s="3" t="s">
        <v>596</v>
      </c>
      <c r="O212" s="5">
        <v>1</v>
      </c>
      <c r="P212" s="4">
        <v>46300</v>
      </c>
      <c r="Q212" s="3" t="s">
        <v>668</v>
      </c>
      <c r="R212" s="9">
        <v>957464</v>
      </c>
      <c r="S212" s="9">
        <f ca="1">IF(OR(Q212="SIN PROCESAR",Q212="SIN ENVIAR",Q212="ENVIADO SIN ENTREGAR"),(IF((NETWORKDAYS(E212,TODAY()-1,$U$2:$AA$2))&lt;0,0,(NETWORKDAYS(E212,TODAY()-1,$U$2:$AA$2)))),0)</f>
        <v>0</v>
      </c>
      <c r="T212" s="3" t="s">
        <v>679</v>
      </c>
    </row>
    <row r="213" spans="1:20" x14ac:dyDescent="0.25">
      <c r="A213" s="3" t="s">
        <v>660</v>
      </c>
      <c r="B213" s="3" t="s">
        <v>75</v>
      </c>
      <c r="C213" s="3" t="s">
        <v>601</v>
      </c>
      <c r="D213" s="3" t="s">
        <v>157</v>
      </c>
      <c r="E213" s="4">
        <v>46301</v>
      </c>
      <c r="F213" s="3">
        <v>21425290</v>
      </c>
      <c r="G213" s="3">
        <v>20784917</v>
      </c>
      <c r="H213" s="3" t="s">
        <v>17</v>
      </c>
      <c r="I213" s="3" t="s">
        <v>37</v>
      </c>
      <c r="J213" s="3" t="s">
        <v>19</v>
      </c>
      <c r="K213" s="3" t="s">
        <v>602</v>
      </c>
      <c r="L213" s="5">
        <v>1</v>
      </c>
      <c r="M213" s="3" t="s">
        <v>73</v>
      </c>
      <c r="N213" s="3" t="s">
        <v>74</v>
      </c>
      <c r="O213" s="5">
        <v>1</v>
      </c>
      <c r="P213" s="4">
        <v>46302</v>
      </c>
      <c r="Q213" s="3" t="s">
        <v>669</v>
      </c>
      <c r="R213" s="9">
        <v>957898</v>
      </c>
      <c r="S213" s="9">
        <f ca="1">IF(OR(Q213="SIN PROCESAR",Q213="SIN ENVIAR",Q213="ENVIADO SIN ENTREGAR"),(IF((NETWORKDAYS(E213,TODAY()-1,$U$2:$AA$2))&lt;0,0,(NETWORKDAYS(E213,TODAY()-1,$U$2:$AA$2)))),0)</f>
        <v>0</v>
      </c>
      <c r="T213" s="3" t="s">
        <v>734</v>
      </c>
    </row>
    <row r="214" spans="1:20" x14ac:dyDescent="0.25">
      <c r="A214" s="3" t="s">
        <v>660</v>
      </c>
      <c r="B214" s="3" t="s">
        <v>265</v>
      </c>
      <c r="C214" s="3" t="s">
        <v>603</v>
      </c>
      <c r="D214" s="3" t="s">
        <v>437</v>
      </c>
      <c r="E214" s="4">
        <v>46300</v>
      </c>
      <c r="F214" s="3">
        <v>21389386</v>
      </c>
      <c r="G214" s="3">
        <v>20776286</v>
      </c>
      <c r="H214" s="3" t="s">
        <v>36</v>
      </c>
      <c r="I214" s="3" t="s">
        <v>37</v>
      </c>
      <c r="J214" s="3" t="s">
        <v>19</v>
      </c>
      <c r="K214" s="3" t="s">
        <v>604</v>
      </c>
      <c r="L214" s="5">
        <v>1</v>
      </c>
      <c r="M214" s="3" t="s">
        <v>605</v>
      </c>
      <c r="N214" s="3" t="s">
        <v>606</v>
      </c>
      <c r="O214" s="5">
        <v>1</v>
      </c>
      <c r="P214" s="4">
        <v>46301</v>
      </c>
      <c r="Q214" s="3" t="s">
        <v>668</v>
      </c>
      <c r="R214" s="9">
        <v>957685</v>
      </c>
      <c r="S214" s="9">
        <f ca="1">IF(OR(Q214="SIN PROCESAR",Q214="SIN ENVIAR",Q214="ENVIADO SIN ENTREGAR"),(IF((NETWORKDAYS(E214,TODAY()-1,$U$2:$AA$2))&lt;0,0,(NETWORKDAYS(E214,TODAY()-1,$U$2:$AA$2)))),0)</f>
        <v>0</v>
      </c>
      <c r="T214" s="3" t="s">
        <v>735</v>
      </c>
    </row>
    <row r="215" spans="1:20" x14ac:dyDescent="0.25">
      <c r="A215" s="3" t="s">
        <v>660</v>
      </c>
      <c r="B215" s="3" t="s">
        <v>160</v>
      </c>
      <c r="C215" s="3" t="s">
        <v>607</v>
      </c>
      <c r="D215" s="3" t="s">
        <v>608</v>
      </c>
      <c r="E215" s="4">
        <v>46302</v>
      </c>
      <c r="F215" s="3">
        <v>21438984</v>
      </c>
      <c r="G215" s="3">
        <v>20790266</v>
      </c>
      <c r="H215" s="3" t="s">
        <v>158</v>
      </c>
      <c r="I215" s="3" t="s">
        <v>18</v>
      </c>
      <c r="J215" s="3" t="s">
        <v>19</v>
      </c>
      <c r="K215" s="3" t="s">
        <v>609</v>
      </c>
      <c r="L215" s="5">
        <v>1</v>
      </c>
      <c r="M215" s="3" t="s">
        <v>165</v>
      </c>
      <c r="N215" s="3" t="s">
        <v>166</v>
      </c>
      <c r="O215" s="5">
        <v>1</v>
      </c>
      <c r="P215" s="4">
        <v>46303</v>
      </c>
      <c r="Q215" s="3" t="s">
        <v>670</v>
      </c>
      <c r="R215" s="9">
        <v>958088</v>
      </c>
      <c r="S215" s="9">
        <f ca="1">IF(OR(Q215="SIN PROCESAR",Q215="SIN ENVIAR",Q215="ENVIADO SIN ENTREGAR"),(IF((NETWORKDAYS(E215,TODAY()-1,$U$2:$AA$2))&lt;0,0,(NETWORKDAYS(E215,TODAY()-1,$U$2:$AA$2)))),0)</f>
        <v>0</v>
      </c>
      <c r="T215" s="3" t="s">
        <v>736</v>
      </c>
    </row>
  </sheetData>
  <sortState xmlns:xlrd2="http://schemas.microsoft.com/office/spreadsheetml/2017/richdata2" ref="A3:T215">
    <sortCondition descending="1" ref="S3:S2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2026-10-12T14:46:28Z</dcterms:created>
  <dcterms:modified xsi:type="dcterms:W3CDTF">2026-10-12T15:32:23Z</dcterms:modified>
</cp:coreProperties>
</file>